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ymo\Projects\fae2-nlpr-group-group-9-1\"/>
    </mc:Choice>
  </mc:AlternateContent>
  <xr:revisionPtr revIDLastSave="0" documentId="13_ncr:1_{BD02B217-256D-4C7D-AE24-CFE2641C60B1}" xr6:coauthVersionLast="47" xr6:coauthVersionMax="47" xr10:uidLastSave="{00000000-0000-0000-0000-000000000000}"/>
  <bookViews>
    <workbookView xWindow="-108" yWindow="-108" windowWidth="23256" windowHeight="12456" xr2:uid="{8F177F7D-F51F-4267-8833-1565B35A300D}"/>
  </bookViews>
  <sheets>
    <sheet name="STT_Assemb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3" i="1"/>
  <c r="H184" i="1"/>
  <c r="I184" i="1"/>
  <c r="J184" i="1"/>
  <c r="K184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77E198-40A5-4240-9C42-F9535E356AA8}" keepAlive="1" name="Query - assemblyas_60-119(in)" description="Connection to the 'assemblyas_60-119(in)' query in the workbook." type="5" refreshedVersion="0" background="1">
    <dbPr connection="Provider=Microsoft.Mashup.OleDb.1;Data Source=$Workbook$;Location=assemblyas_60-119(in);Extended Properties=&quot;&quot;" command="SELECT * FROM [assemblyas_60-119(in)]"/>
  </connection>
  <connection id="2" xr16:uid="{54475B8A-F0C8-4542-A3D7-1E5921B3A003}" keepAlive="1" name="Query - bbad42d9-8a53-423e-b612-ab8b8cff3dfc_youtube_audio_segments(in) (1)" description="Connection to the 'bbad42d9-8a53-423e-b612-ab8b8cff3dfc_youtube_audio_segments(in) (1)' query in the workbook." type="5" refreshedVersion="0" background="1">
    <dbPr connection="Provider=Microsoft.Mashup.OleDb.1;Data Source=$Workbook$;Location=&quot;bbad42d9-8a53-423e-b612-ab8b8cff3dfc_youtube_audio_segments(in) (1)&quot;;Extended Properties=&quot;&quot;" command="SELECT * FROM [bbad42d9-8a53-423e-b612-ab8b8cff3dfc_youtube_audio_segments(in) (1)]"/>
  </connection>
</connections>
</file>

<file path=xl/sharedStrings.xml><?xml version="1.0" encoding="utf-8"?>
<sst xmlns="http://schemas.openxmlformats.org/spreadsheetml/2006/main" count="196" uniqueCount="195">
  <si>
    <t>Segment_id</t>
  </si>
  <si>
    <t>Start_time_seconds</t>
  </si>
  <si>
    <t>End_time_seconds</t>
  </si>
  <si>
    <t>Start_time_formatted</t>
  </si>
  <si>
    <t>End_time_formatted</t>
  </si>
  <si>
    <t>Duration_seconds</t>
  </si>
  <si>
    <t>Sentence</t>
  </si>
  <si>
    <t>Program zawiera treści nieodpowiednie dla widzów niepełnoletnich oraz takie, które mogą urazić niektórych dorosłych.</t>
  </si>
  <si>
    <t>Oglądasz na własną odpowiedzialność.</t>
  </si>
  <si>
    <t>JEDZIEMY DO PIĘKOWA!</t>
  </si>
  <si>
    <t>Krakowiacek jeden, miał koniku siedem.</t>
  </si>
  <si>
    <t>Tak go dźgnąłem w tą tarczę i widziałem, że się wkurwił.</t>
  </si>
  <si>
    <t>JEDZIEMY!</t>
  </si>
  <si>
    <t>JEDZIEMY NA PYLNEJ PISCIE!</t>
  </si>
  <si>
    <t>O 6 w nocy pojechałem do szpitala.</t>
  </si>
  <si>
    <t>Tak zajebiście źle się czułem.</t>
  </si>
  <si>
    <t>A w nocy czułeś się, jakby całe życie ci przeleciało przed oczymi?</t>
  </si>
  <si>
    <t>No.</t>
  </si>
  <si>
    <t>Tak długo pracujesz?</t>
  </si>
  <si>
    <t>To jest mój mąż.</t>
  </si>
  <si>
    <t>Aha.</t>
  </si>
  <si>
    <t>Także Wojtek nic nie powyrywał.</t>
  </si>
  <si>
    <t>Nieudany balet.</t>
  </si>
  <si>
    <t>Ej, kurwa, studenciki, pojebało was?</t>
  </si>
  <si>
    <t>Nie wiem, jak można pomilić kibel z bidetem.</t>
  </si>
  <si>
    <t>Jestem nie tylko przystojny, ale i świetnie wyposażony.</t>
  </si>
  <si>
    <t>Męża szukam, miłości szukam.</t>
  </si>
  <si>
    <t>Widzicie, mega pompa.</t>
  </si>
  <si>
    <t>Ja nabieram swe duchy!</t>
  </si>
  <si>
    <t>Ja!</t>
  </si>
  <si>
    <t>Jestem największym pogromcą wszystkich osób.</t>
  </si>
  <si>
    <t>Jestem naturalną pięknością.</t>
  </si>
  <si>
    <t>Wszystkie dziewczyny i wszystkie parkety są moje, tylko moje.</t>
  </si>
  <si>
    <t>Jestem małą, ale jak Ci przywalę, to się zdziwisz.</t>
  </si>
  <si>
    <t>Łączą szok!</t>
  </si>
  <si>
    <t>Gdzie jedziemy?</t>
  </si>
  <si>
    <t>Jedziemy do Wielkoły!</t>
  </si>
  <si>
    <t>Zapolować nas smogem.</t>
  </si>
  <si>
    <t>Na dziewicę.</t>
  </si>
  <si>
    <t>Polsko, słuchaj!</t>
  </si>
  <si>
    <t>Uderzyliśmy.</t>
  </si>
  <si>
    <t>Do Krakowa na pełnej kurwie.</t>
  </si>
  <si>
    <t>Wjechaliśmy tam wszyscy, całą ekipą.</t>
  </si>
  <si>
    <t>Po prostu jest pełno ludzi, jest ciągle wszędzie muzyka gra, wszędzie jakieś tańce.</t>
  </si>
  <si>
    <t>Jacyś Hiszpanie tańczyli, czy nie wiadomo kto, ciemni byli w każdym bądź razie.</t>
  </si>
  <si>
    <t>Paweł mnie wziął na ręce i oczywiście zaprowadził do tych ludzi pijanych czy tam naćpanych.</t>
  </si>
  <si>
    <t>Nie potańczyłam sobie długo, bo stwierdziłam, że to nie mój klimat tańca.</t>
  </si>
  <si>
    <t>Szliśmy później przy jakimś, kurczę, scenie, jakimś, kurczę, tańcu ludowym.</t>
  </si>
  <si>
    <t>Przygrywały tam dziewczyny, tam na jakichś tam...</t>
  </si>
  <si>
    <t>No jak się na tych kurwa...</t>
  </si>
  <si>
    <t>Co dalej?</t>
  </si>
  <si>
    <t>Pizdu, pizdu.</t>
  </si>
  <si>
    <t>Skrzypce.</t>
  </si>
  <si>
    <t>O ja pierdolę.</t>
  </si>
  <si>
    <t>Wskoczyliśmy szybko tam, zrobiliśmy małe show, żeby tam potańczyć z tymi babciami.</t>
  </si>
  <si>
    <t>Krakowie, CGW, miał koniku 7.</t>
  </si>
  <si>
    <t>Ogólnie zobaczyłem, że w Krakowie wszystkie dziewczyny się uśmiechają jak przechodzę i podobno nawet Tysiąc dwa razy mi zwrócił uwagę, że zobacz stary, ta dziewczyna stanęła aż i obraca się tak i patrzy za tobą.</t>
  </si>
  <si>
    <t>To było miłe.</t>
  </si>
  <si>
    <t>Ale może to właśnie ten Kraków tak przyciąga, może ta hiszpańska jakaś tam podobizna moja do Hiszpana.</t>
  </si>
  <si>
    <t>Jak żeśmy szły z Eweliną, to stał taki facet z takim pieskiem.</t>
  </si>
  <si>
    <t>Gościu nas jakimś kotem przestraszył.</t>
  </si>
  <si>
    <t>Jak żeśmy się zaczęły drzeć.</t>
  </si>
  <si>
    <t>Boże, jak ja się wystraszyłam.</t>
  </si>
  <si>
    <t>No masakra, nie?</t>
  </si>
  <si>
    <t>To było przestraszne.</t>
  </si>
  <si>
    <t>Koło sceny stał rycerz.</t>
  </si>
  <si>
    <t>No i zbrojeny.</t>
  </si>
  <si>
    <t>No ale chuj tam.</t>
  </si>
  <si>
    <t>Siema!</t>
  </si>
  <si>
    <t>No co, kurwa, no.</t>
  </si>
  <si>
    <t>Zbierac!</t>
  </si>
  <si>
    <t>Zapierdalać!</t>
  </si>
  <si>
    <t>Jestem!</t>
  </si>
  <si>
    <t>Jestem.</t>
  </si>
  <si>
    <t>Dobra, Kataniu.</t>
  </si>
  <si>
    <t>Wszyscy weszli na smoka.</t>
  </si>
  <si>
    <t>Dobra, do punktu.</t>
  </si>
  <si>
    <t>To nasza reklama, ekipa z Warszawy.</t>
  </si>
  <si>
    <t>Ja tak samo.</t>
  </si>
  <si>
    <t>Nie, no po prostu to było szaleństwo naprawdę.</t>
  </si>
  <si>
    <t>Ja byłam tak podjarana.</t>
  </si>
  <si>
    <t>Masakra, nie mogę w to wierzyć do tej pory.</t>
  </si>
  <si>
    <t>Zjedliśmy sobie dobre jadło.</t>
  </si>
  <si>
    <t>Limuzyna podjechała pod nas.</t>
  </si>
  <si>
    <t>Zapraszamy, drogie panie.</t>
  </si>
  <si>
    <t>Wypad.</t>
  </si>
  <si>
    <t>No i na imprezę, nie?</t>
  </si>
  <si>
    <t>Wjechaliśmy przez centrum, dlatego otworzyliśmy szybę i dach.</t>
  </si>
  <si>
    <t>Oglądajcie ekipę z Warszawy!</t>
  </si>
  <si>
    <t>World's No Show!</t>
  </si>
  <si>
    <t>Puszczeliśmy do Ludźce filmy World's No Show, oglądajcie World's No Show.</t>
  </si>
  <si>
    <t>Nasze hasło, nie spać, zwiedzać.</t>
  </si>
  <si>
    <t>Ekipa Warszawy!</t>
  </si>
  <si>
    <t>Tam w Piszcie leży pozytywnie.</t>
  </si>
  <si>
    <t>Piszcie do NRG!</t>
  </si>
  <si>
    <t>Warszawa Świata będzie!</t>
  </si>
  <si>
    <t>Ania Krzysztofa, zapraszamy do NRG!</t>
  </si>
  <si>
    <t>Piszczamy!</t>
  </si>
  <si>
    <t>Warszawa Świata!</t>
  </si>
  <si>
    <t>Piszczamy na Pylnej Piszcie!</t>
  </si>
  <si>
    <t>Przybijaliśmy piątki tam na przystankach, chcieliśmy porwać jedną laskę, ale się nie dało.</t>
  </si>
  <si>
    <t>Chodzi o to, żeby pobudzić troszkę ludzi, pobudzić ludzi w Krakowie, pokazać, że się dobrze bawimy i że dajemy czadu wszędzie, gdzie jesteśmy, że ekipa nie śpi.</t>
  </si>
  <si>
    <t>W ogóle był całkiem taki miły i fajny dzień.</t>
  </si>
  <si>
    <t>Taki po prostu byliśmy ekipą.</t>
  </si>
  <si>
    <t>Wjechaliśmy do klubu już też na pewnej pływie.</t>
  </si>
  <si>
    <t>Widać było zainteresowanie ludzi, kto to jest, kto przyjeżdża limuzyną.</t>
  </si>
  <si>
    <t>Po wejściu do klubu się czułem tak, wow, wchodzimy na VIP-a, do nas do wibloży, ochroniarze nas przepuszczają, wszyscy mówią, łososz odjdzie.</t>
  </si>
  <si>
    <t>Energy, tyle ludzi po prostu, że to jest masakra.</t>
  </si>
  <si>
    <t>Fani zaskoczyli nas bardzo miło, przywitali nas ciepło.</t>
  </si>
  <si>
    <t>zdjęcia, autografy.</t>
  </si>
  <si>
    <t>Dziewczynom daliśmy po buziaczku.</t>
  </si>
  <si>
    <t>Wskoczyliśmy za DJ-kę, zaczęliśmy pozdrawiać wszystkich fanów.</t>
  </si>
  <si>
    <t>Nie czułam jakaś, jakaś się taka, nie wiem, jak gwiazda czy coś.</t>
  </si>
  <si>
    <t>Po prostu chciałam się dobrze bawić.</t>
  </si>
  <si>
    <t>Klub zajebisty, no to zajebista, także fajnie.</t>
  </si>
  <si>
    <t>Chłopacy klaskali, dziewczyny chciały buziarki, dlatego schyliłem się do nich.</t>
  </si>
  <si>
    <t>Wszystkie wycałowały po policzku.</t>
  </si>
  <si>
    <t>Nawet jeden gość już wepchał szybko, żeby mnie pocałować z policzek.</t>
  </si>
  <si>
    <t>Bawić się energii to jedna wielka przyjemność.</t>
  </si>
  <si>
    <t>Fajne było to, że ludzie tak się mega podjerali tym wszystkim.</t>
  </si>
  <si>
    <t>Gdy weszliśmy w tłum, osobiście co chwilę dziewczyna mnie jakaś chwytała za tyłek, albo szczypała, albo ktoś mnie tutaj klepnął.</t>
  </si>
  <si>
    <t>Czuję się jak taka mega gwiazda.</t>
  </si>
  <si>
    <t>Dziewczyny to sobie piszczały.</t>
  </si>
  <si>
    <t>Ale rozglądałem się tak dookoła i...</t>
  </si>
  <si>
    <t>Powiedzmy, że nie widziałem zbytnio kandydatek do działań.</t>
  </si>
  <si>
    <t>Byłam z nadzieją, żyłam, jak jeszcze tańczyłam pierwsze piosenki, że zaraz spotkam zajebiste ciacho i po prostu pójdę z nim w melanż.</t>
  </si>
  <si>
    <t>Przepraszam, że to powiem, to wartu tam dla dziewczyn nie ma.</t>
  </si>
  <si>
    <t>Niestety.</t>
  </si>
  <si>
    <t>Ja się bawiłam u nas na naszym VIP-ie.</t>
  </si>
  <si>
    <t>Patrzyłam po sali i oczywiście szukałam jakiegoś klucza, kluczu zaczepnego, w końcu dla mnie.</t>
  </si>
  <si>
    <t>Chciałam nadzieję, że w końcu ktoś tam będzie.</t>
  </si>
  <si>
    <t>I zobaczyłam śliczną blondyneczkę.</t>
  </si>
  <si>
    <t>Zaczęliśmy.</t>
  </si>
  <si>
    <t>Się bawić, później jakoś tak dużo, po prostu dałam im każdego buziaczka, jednego, drugiego, trzeciego.</t>
  </si>
  <si>
    <t>Nagle czuję, że ktoś ją odrywa ode mnie, jak my się całujemy.</t>
  </si>
  <si>
    <t>Ja mówię, kurwa, o co chodzi, nie?</t>
  </si>
  <si>
    <t>Ja patrzę, tam jakiś koleś robi jazdę, nie?</t>
  </si>
  <si>
    <t>Ja mówię, to twój facet?</t>
  </si>
  <si>
    <t>S</t>
  </si>
  <si>
    <t>I</t>
  </si>
  <si>
    <t>D</t>
  </si>
  <si>
    <t>N</t>
  </si>
  <si>
    <t>WER</t>
  </si>
  <si>
    <t>Number of words</t>
  </si>
  <si>
    <t>Tak go d?gn??em w t? tarcz? i widzia?em, ?e si? wkurwi?.</t>
  </si>
  <si>
    <t>Wygl?da? na kozaka.</t>
  </si>
  <si>
    <t>To m�wi?, musisz si? ze mn? zmierzy?.</t>
  </si>
  <si>
    <t>Podj?? on m?ski b�j, tam wymachiwa?.</t>
  </si>
  <si>
    <t>W pewnym momencie nawet by? nak?�d, kt�ry pisa? on.</t>
  </si>
  <si>
    <t>W sensie, w ko?cu musisz macha? szybciej tym mieczem.</t>
  </si>
  <si>
    <t>Ale dawa?em rad? tam, nadrawia?em.</t>
  </si>
  <si>
    <t>Oszcz?dzi?em ch?opa.</t>
  </si>
  <si>
    <t>Niech sobie ch?opak tam dorobi, nie?</t>
  </si>
  <si>
    <t>Pochodzili?my troch? po rynku.</t>
  </si>
  <si>
    <t>Nie spa?!</t>
  </si>
  <si>
    <t>Zapierdala?!</t>
  </si>
  <si>
    <t>Byli?my na smoku.</t>
  </si>
  <si>
    <t>Smok og�lnie jest kozakiem.</t>
  </si>
  <si>
    <t>Ja og�lnie nie widzia?em smoka nigdy w akwarium.</t>
  </si>
  <si>
    <t>Jej ogie?!</t>
  </si>
  <si>
    <t>Taki przyjadolny troszk?.</t>
  </si>
  <si>
    <t>Ja my?la?em, ?e troszeczk? wi?kszy b?dzie, nie?</t>
  </si>
  <si>
    <t>Chcieli?my znale?? dla niego dziewic?, ale w ca?ym Krakowie nie znale?li?my takiej.</t>
  </si>
  <si>
    <t>A nie ?onie ogie??</t>
  </si>
  <si>
    <t>Zrobimy sobie zdj?cie na smoku.</t>
  </si>
  <si>
    <t>Ja nie wchodz? na to.</t>
  </si>
  <si>
    <t>Kurwa, jak tutaj wej???</t>
  </si>
  <si>
    <t>Czekaj, ja musz? wej?? z drugiej strony.</t>
  </si>
  <si>
    <t>Wszyscy we?miemy tego smoka, ja oczywi?cie nie, bo zauwa?y?am, jak pojebane jakie? obcasy.</t>
  </si>
  <si>
    <t>Mi si? spierdoli?a sego, wi?c sobie posiad?am sobie ko?o smoka.</t>
  </si>
  <si>
    <t>Dawaj, tu jad?.</t>
  </si>
  <si>
    <t>Nie, naprawd?, nie wejd? na to, w tych butach si? spieprz? i si? po?amie, nie chc?.</t>
  </si>
  <si>
    <t>Nie, naprawd?.</t>
  </si>
  <si>
    <t>Tu usta?.</t>
  </si>
  <si>
    <t>Ewelina nie wysz?a, bo si? chyba ba?a.</t>
  </si>
  <si>
    <t>Ja postanowi?em, ?eby by? troszk? wy?ej, ?eby by? bli?ej zion?cej g?owy.</t>
  </si>
  <si>
    <t>A nie, bo Wojtek jest tam na g�rze.</t>
  </si>
  <si>
    <t>Wojtek, uwa?aj!</t>
  </si>
  <si>
    <t>Ka?dy z nas go trzyma?.</t>
  </si>
  <si>
    <t>Ja wisia?em, mocno go trzyma?em.</t>
  </si>
  <si>
    <t>W?ososzo!</t>
  </si>
  <si>
    <t>Tak go ?cis?em, ?e a? zion?? ogniem.</t>
  </si>
  <si>
    <t>O, jara si?!</t>
  </si>
  <si>
    <t>Smok zion??, to poczu?em takie gor?co, ?e by?em pewien, ?e zaraz mi spali w?osy.</t>
  </si>
  <si>
    <t>Weszli?my do baru, no i prosili?my tam takiego pana, ?eby w??czy? MTV.</t>
  </si>
  <si>
    <t>I nagle s?ysz? krzyk.</t>
  </si>
  <si>
    <t>Odwracam si?, patrz?.</t>
  </si>
  <si>
    <t>Nie, nie, nie, ja nie z t? gwiazd?, nie tak samo wam.</t>
  </si>
  <si>
    <t>Dziewczyny zajebi?cie si? podnieci?y.</t>
  </si>
  <si>
    <t>Jak zobaczy?em te nasze spoty, to po prostu dosta?em energii.</t>
  </si>
  <si>
    <t>Ej, by?a platyna jaka?.</t>
  </si>
  <si>
    <t>Jezu, kochany, to by?o niesamowite.</t>
  </si>
  <si>
    <t>Ja spa?em w basenie, nagle znowu ja uje?d?aj?c na ?winie.</t>
  </si>
  <si>
    <t>Nie, no po prostu to by?o szale?stwo naprawd?.</t>
  </si>
  <si>
    <t>SUMS: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</si>
</sst>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7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164" fontId="0" fillId="3" borderId="2" xfId="0" applyNumberFormat="1" applyFont="1" applyFill="1" applyBorder="1"/>
    <xf numFmtId="0" fontId="0" fillId="3" borderId="2" xfId="0" applyNumberFormat="1" applyFont="1" applyFill="1" applyBorder="1"/>
    <xf numFmtId="164" fontId="0" fillId="0" borderId="2" xfId="0" applyNumberFormat="1" applyFont="1" applyBorder="1"/>
    <xf numFmtId="0" fontId="0" fillId="0" borderId="2" xfId="0" applyNumberFormat="1" applyFont="1" applyBorder="1"/>
    <xf numFmtId="0" fontId="0" fillId="3" borderId="2" xfId="0" applyNumberFormat="1" applyFont="1" applyFill="1" applyBorder="1" applyAlignment="1">
      <alignment wrapText="1"/>
    </xf>
    <xf numFmtId="0" fontId="0" fillId="0" borderId="2" xfId="0" applyNumberFormat="1" applyFont="1" applyBorder="1" applyAlignment="1">
      <alignment wrapText="1"/>
    </xf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0" fontId="0" fillId="0" borderId="6" xfId="0" applyBorder="1"/>
    <xf numFmtId="0" fontId="0" fillId="4" borderId="4" xfId="0" applyFill="1" applyBorder="1"/>
    <xf numFmtId="0" fontId="0" fillId="4" borderId="5" xfId="0" applyFill="1" applyBorder="1"/>
    <xf numFmtId="164" fontId="0" fillId="4" borderId="5" xfId="0" applyNumberFormat="1" applyFill="1" applyBorder="1"/>
    <xf numFmtId="0" fontId="0" fillId="4" borderId="6" xfId="0" applyFill="1" applyBorder="1"/>
    <xf numFmtId="0" fontId="3" fillId="0" borderId="0" xfId="0" applyFont="1"/>
    <xf numFmtId="167" fontId="3" fillId="0" borderId="0" xfId="1" applyNumberFormat="1" applyFont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0" fillId="4" borderId="11" xfId="0" applyFill="1" applyBorder="1"/>
    <xf numFmtId="0" fontId="0" fillId="3" borderId="10" xfId="0" applyNumberFormat="1" applyFont="1" applyFill="1" applyBorder="1" applyAlignment="1">
      <alignment wrapText="1"/>
    </xf>
    <xf numFmtId="0" fontId="0" fillId="4" borderId="12" xfId="0" applyFill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</cellXfs>
  <cellStyles count="2">
    <cellStyle name="Normal" xfId="0" builtinId="0"/>
    <cellStyle name="Per cent" xfId="1" builtinId="5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F400]h:mm:ss\ AM/P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F400]h:mm:ss\ AM/P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CCC7FA-917B-4C93-8A5A-7D9B52690282}" name="Table3" displayName="Table3" ref="A1:K183" totalsRowShown="0" headerRowDxfId="0" dataDxfId="1" headerRowBorderDxfId="13" tableBorderDxfId="14">
  <autoFilter ref="A1:K183" xr:uid="{8ACCC7FA-917B-4C93-8A5A-7D9B52690282}"/>
  <tableColumns count="11">
    <tableColumn id="1" xr3:uid="{18575009-65CF-4286-8E2B-A13A23DE691A}" name="Segment_id" dataDxfId="12"/>
    <tableColumn id="2" xr3:uid="{4B917F49-075C-4B4A-B4A1-CF2FFAAC5EF9}" name="Start_time_seconds" dataDxfId="11"/>
    <tableColumn id="3" xr3:uid="{CD03DB20-0465-4E75-8D6F-C04FEAB28676}" name="End_time_seconds" dataDxfId="10"/>
    <tableColumn id="4" xr3:uid="{7F5D2E19-E74D-4680-94E8-360D80346938}" name="Start_time_formatted" dataDxfId="9"/>
    <tableColumn id="5" xr3:uid="{D5DF849E-0409-425A-AD5E-6FC3045CDFA6}" name="End_time_formatted" dataDxfId="8"/>
    <tableColumn id="6" xr3:uid="{69F2A595-136B-463D-9002-3E6BD0ED2CBC}" name="Duration_seconds" dataDxfId="7"/>
    <tableColumn id="7" xr3:uid="{28304671-8C03-480E-B3FE-4C8F05D4DE9B}" name="Sentence" dataDxfId="6"/>
    <tableColumn id="8" xr3:uid="{ED2B4B8D-80B4-4190-AE30-09957E6A9A7C}" name="Number of words" dataDxfId="5">
      <calculatedColumnFormula>LEN(TRIM(G2))-LEN(SUBSTITUTE(TRIM(G2)," ",""))+1</calculatedColumnFormula>
    </tableColumn>
    <tableColumn id="9" xr3:uid="{C6B9C13C-A53F-4586-AAE1-B1F0D90ED721}" name="S" dataDxfId="4"/>
    <tableColumn id="10" xr3:uid="{19664B62-2D1B-4C51-A48F-777FA99B1921}" name="I" dataDxfId="3"/>
    <tableColumn id="11" xr3:uid="{61D96661-8191-46C8-A405-EFA52658F247}" name="D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B440-2F19-4754-8EC9-719844547E78}">
  <dimension ref="A1:N184"/>
  <sheetViews>
    <sheetView tabSelected="1" topLeftCell="A172" workbookViewId="0">
      <selection activeCell="G194" sqref="G194"/>
    </sheetView>
  </sheetViews>
  <sheetFormatPr defaultRowHeight="14.4" x14ac:dyDescent="0.3"/>
  <cols>
    <col min="1" max="1" width="12.6640625" customWidth="1"/>
    <col min="2" max="2" width="19.33203125" customWidth="1"/>
    <col min="3" max="3" width="18.33203125" customWidth="1"/>
    <col min="4" max="4" width="20.77734375" customWidth="1"/>
    <col min="5" max="5" width="19.77734375" customWidth="1"/>
    <col min="6" max="6" width="17.6640625" customWidth="1"/>
    <col min="7" max="7" width="44.109375" customWidth="1"/>
    <col min="8" max="8" width="16.88671875" customWidth="1"/>
    <col min="9" max="9" width="4" customWidth="1"/>
    <col min="10" max="10" width="3.44140625" customWidth="1"/>
    <col min="11" max="11" width="4.109375" customWidth="1"/>
  </cols>
  <sheetData>
    <row r="1" spans="1:14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143</v>
      </c>
      <c r="I1" s="24" t="s">
        <v>138</v>
      </c>
      <c r="J1" s="24" t="s">
        <v>139</v>
      </c>
      <c r="K1" s="25" t="s">
        <v>140</v>
      </c>
    </row>
    <row r="2" spans="1:14" ht="43.2" x14ac:dyDescent="0.3">
      <c r="A2" s="1">
        <v>0</v>
      </c>
      <c r="B2" s="2">
        <v>0.63</v>
      </c>
      <c r="C2" s="2">
        <v>7.07</v>
      </c>
      <c r="D2" s="7">
        <v>0</v>
      </c>
      <c r="E2" s="7">
        <v>4.8611111111111112E-3</v>
      </c>
      <c r="F2" s="2">
        <v>6.44</v>
      </c>
      <c r="G2" s="11" t="s">
        <v>7</v>
      </c>
      <c r="H2" s="11">
        <f>LEN(TRIM(G2))-LEN(SUBSTITUTE(TRIM(G2)," ",""))+1</f>
        <v>14</v>
      </c>
      <c r="I2" s="2"/>
      <c r="J2" s="2"/>
      <c r="K2" s="3"/>
    </row>
    <row r="3" spans="1:14" x14ac:dyDescent="0.3">
      <c r="A3" s="4">
        <v>1</v>
      </c>
      <c r="B3" s="5">
        <v>7.07</v>
      </c>
      <c r="C3" s="5">
        <v>10.29</v>
      </c>
      <c r="D3" s="9">
        <v>4.8611111111111112E-3</v>
      </c>
      <c r="E3" s="9">
        <v>6.9444444444444441E-3</v>
      </c>
      <c r="F3" s="5">
        <v>3.22</v>
      </c>
      <c r="G3" s="12" t="s">
        <v>8</v>
      </c>
      <c r="H3" s="11">
        <f t="shared" ref="H3:H66" si="0">LEN(TRIM(G3))-LEN(SUBSTITUTE(TRIM(G3)," ",""))+1</f>
        <v>4</v>
      </c>
      <c r="I3" s="5"/>
      <c r="J3" s="5"/>
      <c r="K3" s="6"/>
      <c r="M3" s="21" t="s">
        <v>141</v>
      </c>
      <c r="N3" s="21">
        <f>H184+K184-J184</f>
        <v>1167</v>
      </c>
    </row>
    <row r="4" spans="1:14" x14ac:dyDescent="0.3">
      <c r="A4" s="1">
        <v>2</v>
      </c>
      <c r="B4" s="2">
        <v>10.29</v>
      </c>
      <c r="C4" s="2">
        <v>13.13</v>
      </c>
      <c r="D4" s="7">
        <v>6.9444444444444441E-3</v>
      </c>
      <c r="E4" s="7">
        <v>9.0277777777777769E-3</v>
      </c>
      <c r="F4" s="2">
        <v>2.84</v>
      </c>
      <c r="G4" s="11" t="s">
        <v>9</v>
      </c>
      <c r="H4" s="11">
        <f t="shared" si="0"/>
        <v>3</v>
      </c>
      <c r="I4" s="2">
        <v>1</v>
      </c>
      <c r="J4" s="2"/>
      <c r="K4" s="3"/>
      <c r="M4" s="21" t="s">
        <v>142</v>
      </c>
      <c r="N4" s="22">
        <f>SUM(I184:K184)/N3</f>
        <v>0.10882604970008569</v>
      </c>
    </row>
    <row r="5" spans="1:14" x14ac:dyDescent="0.3">
      <c r="A5" s="4">
        <v>3</v>
      </c>
      <c r="B5" s="5">
        <v>13.13</v>
      </c>
      <c r="C5" s="5">
        <v>17.89</v>
      </c>
      <c r="D5" s="9">
        <v>9.0277777777777769E-3</v>
      </c>
      <c r="E5" s="9">
        <v>1.1805555555555555E-2</v>
      </c>
      <c r="F5" s="5">
        <v>4.76</v>
      </c>
      <c r="G5" s="12" t="s">
        <v>10</v>
      </c>
      <c r="H5" s="11">
        <f t="shared" si="0"/>
        <v>5</v>
      </c>
      <c r="I5" s="5">
        <v>1</v>
      </c>
      <c r="J5" s="5"/>
      <c r="K5" s="6"/>
    </row>
    <row r="6" spans="1:14" ht="28.8" x14ac:dyDescent="0.3">
      <c r="A6" s="1">
        <v>4</v>
      </c>
      <c r="B6" s="2">
        <v>17.89</v>
      </c>
      <c r="C6" s="2">
        <v>22.95</v>
      </c>
      <c r="D6" s="7">
        <v>1.1805555555555555E-2</v>
      </c>
      <c r="E6" s="7">
        <v>1.5277777777777777E-2</v>
      </c>
      <c r="F6" s="2">
        <v>5.0599999999999996</v>
      </c>
      <c r="G6" s="11" t="s">
        <v>11</v>
      </c>
      <c r="H6" s="11">
        <f t="shared" si="0"/>
        <v>11</v>
      </c>
      <c r="I6" s="2"/>
      <c r="J6" s="2"/>
      <c r="K6" s="3"/>
    </row>
    <row r="7" spans="1:14" x14ac:dyDescent="0.3">
      <c r="A7" s="4">
        <v>5</v>
      </c>
      <c r="B7" s="5">
        <v>22.95</v>
      </c>
      <c r="C7" s="5">
        <v>24.71</v>
      </c>
      <c r="D7" s="9">
        <v>1.5277777777777777E-2</v>
      </c>
      <c r="E7" s="9">
        <v>1.6666666666666666E-2</v>
      </c>
      <c r="F7" s="5">
        <v>1.76</v>
      </c>
      <c r="G7" s="12" t="s">
        <v>12</v>
      </c>
      <c r="H7" s="11">
        <f t="shared" si="0"/>
        <v>1</v>
      </c>
      <c r="I7" s="5"/>
      <c r="J7" s="5"/>
      <c r="K7" s="6"/>
    </row>
    <row r="8" spans="1:14" x14ac:dyDescent="0.3">
      <c r="A8" s="1">
        <v>6</v>
      </c>
      <c r="B8" s="2">
        <v>24.71</v>
      </c>
      <c r="C8" s="2">
        <v>29.81</v>
      </c>
      <c r="D8" s="7">
        <v>1.6666666666666666E-2</v>
      </c>
      <c r="E8" s="7">
        <v>2.013888888888889E-2</v>
      </c>
      <c r="F8" s="2">
        <v>5.0999999999999996</v>
      </c>
      <c r="G8" s="11" t="s">
        <v>13</v>
      </c>
      <c r="H8" s="11">
        <f t="shared" si="0"/>
        <v>4</v>
      </c>
      <c r="I8" s="2">
        <v>3</v>
      </c>
      <c r="J8" s="2"/>
      <c r="K8" s="3"/>
    </row>
    <row r="9" spans="1:14" x14ac:dyDescent="0.3">
      <c r="A9" s="4">
        <v>7</v>
      </c>
      <c r="B9" s="5">
        <v>31.28</v>
      </c>
      <c r="C9" s="5">
        <v>33.64</v>
      </c>
      <c r="D9" s="9">
        <v>2.1527777777777778E-2</v>
      </c>
      <c r="E9" s="9">
        <v>2.2916666666666665E-2</v>
      </c>
      <c r="F9" s="5">
        <v>2.36</v>
      </c>
      <c r="G9" s="12" t="s">
        <v>14</v>
      </c>
      <c r="H9" s="11">
        <f t="shared" si="0"/>
        <v>7</v>
      </c>
      <c r="I9" s="5">
        <v>2</v>
      </c>
      <c r="J9" s="5"/>
      <c r="K9" s="6"/>
    </row>
    <row r="10" spans="1:14" x14ac:dyDescent="0.3">
      <c r="A10" s="1">
        <v>8</v>
      </c>
      <c r="B10" s="2">
        <v>33.64</v>
      </c>
      <c r="C10" s="2">
        <v>37.26</v>
      </c>
      <c r="D10" s="7">
        <v>2.2916666666666665E-2</v>
      </c>
      <c r="E10" s="7">
        <v>2.5694444444444443E-2</v>
      </c>
      <c r="F10" s="2">
        <v>3.62</v>
      </c>
      <c r="G10" s="11" t="s">
        <v>15</v>
      </c>
      <c r="H10" s="11">
        <f t="shared" si="0"/>
        <v>5</v>
      </c>
      <c r="I10" s="2"/>
      <c r="J10" s="2"/>
      <c r="K10" s="3"/>
    </row>
    <row r="11" spans="1:14" ht="28.8" x14ac:dyDescent="0.3">
      <c r="A11" s="4">
        <v>9</v>
      </c>
      <c r="B11" s="5">
        <v>37.26</v>
      </c>
      <c r="C11" s="5">
        <v>39.9</v>
      </c>
      <c r="D11" s="9">
        <v>2.5694444444444443E-2</v>
      </c>
      <c r="E11" s="9">
        <v>2.7083333333333334E-2</v>
      </c>
      <c r="F11" s="5">
        <v>2.64</v>
      </c>
      <c r="G11" s="12" t="s">
        <v>16</v>
      </c>
      <c r="H11" s="11">
        <f t="shared" si="0"/>
        <v>12</v>
      </c>
      <c r="I11" s="5"/>
      <c r="J11" s="5"/>
      <c r="K11" s="6"/>
    </row>
    <row r="12" spans="1:14" x14ac:dyDescent="0.3">
      <c r="A12" s="1">
        <v>10</v>
      </c>
      <c r="B12" s="2">
        <v>39.9</v>
      </c>
      <c r="C12" s="2">
        <v>41.04</v>
      </c>
      <c r="D12" s="7">
        <v>2.7083333333333334E-2</v>
      </c>
      <c r="E12" s="7">
        <v>2.8472222222222222E-2</v>
      </c>
      <c r="F12" s="2">
        <v>1.1399999999999999</v>
      </c>
      <c r="G12" s="11" t="s">
        <v>17</v>
      </c>
      <c r="H12" s="11">
        <f t="shared" si="0"/>
        <v>1</v>
      </c>
      <c r="I12" s="2"/>
      <c r="J12" s="2"/>
      <c r="K12" s="3"/>
    </row>
    <row r="13" spans="1:14" x14ac:dyDescent="0.3">
      <c r="A13" s="4">
        <v>11</v>
      </c>
      <c r="B13" s="5">
        <v>41.04</v>
      </c>
      <c r="C13" s="5">
        <v>42.72</v>
      </c>
      <c r="D13" s="9">
        <v>2.8472222222222222E-2</v>
      </c>
      <c r="E13" s="9">
        <v>2.9166666666666667E-2</v>
      </c>
      <c r="F13" s="5">
        <v>1.68</v>
      </c>
      <c r="G13" s="12" t="s">
        <v>18</v>
      </c>
      <c r="H13" s="11">
        <f t="shared" si="0"/>
        <v>3</v>
      </c>
      <c r="I13" s="5"/>
      <c r="J13" s="5"/>
      <c r="K13" s="6"/>
    </row>
    <row r="14" spans="1:14" x14ac:dyDescent="0.3">
      <c r="A14" s="1">
        <v>12</v>
      </c>
      <c r="B14" s="2">
        <v>42.72</v>
      </c>
      <c r="C14" s="2">
        <v>44.2</v>
      </c>
      <c r="D14" s="7">
        <v>2.9166666666666667E-2</v>
      </c>
      <c r="E14" s="7">
        <v>3.0555555555555555E-2</v>
      </c>
      <c r="F14" s="2">
        <v>1.48</v>
      </c>
      <c r="G14" s="11" t="s">
        <v>19</v>
      </c>
      <c r="H14" s="11">
        <f t="shared" si="0"/>
        <v>4</v>
      </c>
      <c r="I14" s="2"/>
      <c r="J14" s="2"/>
      <c r="K14" s="3"/>
    </row>
    <row r="15" spans="1:14" x14ac:dyDescent="0.3">
      <c r="A15" s="4">
        <v>13</v>
      </c>
      <c r="B15" s="5">
        <v>44.2</v>
      </c>
      <c r="C15" s="5">
        <v>44.74</v>
      </c>
      <c r="D15" s="9">
        <v>3.0555555555555555E-2</v>
      </c>
      <c r="E15" s="9">
        <v>3.0555555555555555E-2</v>
      </c>
      <c r="F15" s="5">
        <v>0.54</v>
      </c>
      <c r="G15" s="12" t="s">
        <v>20</v>
      </c>
      <c r="H15" s="11">
        <f t="shared" si="0"/>
        <v>1</v>
      </c>
      <c r="I15" s="5"/>
      <c r="J15" s="5"/>
      <c r="K15" s="6">
        <v>2</v>
      </c>
    </row>
    <row r="16" spans="1:14" x14ac:dyDescent="0.3">
      <c r="A16" s="1">
        <v>14</v>
      </c>
      <c r="B16" s="2">
        <v>44.74</v>
      </c>
      <c r="C16" s="2">
        <v>47.16</v>
      </c>
      <c r="D16" s="7">
        <v>3.0555555555555555E-2</v>
      </c>
      <c r="E16" s="7">
        <v>3.2638888888888891E-2</v>
      </c>
      <c r="F16" s="2">
        <v>2.42</v>
      </c>
      <c r="G16" s="11" t="s">
        <v>21</v>
      </c>
      <c r="H16" s="11">
        <f t="shared" si="0"/>
        <v>5</v>
      </c>
      <c r="I16" s="2"/>
      <c r="J16" s="2"/>
      <c r="K16" s="3"/>
    </row>
    <row r="17" spans="1:11" x14ac:dyDescent="0.3">
      <c r="A17" s="4">
        <v>15</v>
      </c>
      <c r="B17" s="5">
        <v>47.16</v>
      </c>
      <c r="C17" s="5">
        <v>49.96</v>
      </c>
      <c r="D17" s="9">
        <v>3.2638888888888891E-2</v>
      </c>
      <c r="E17" s="9">
        <v>3.4027777777777775E-2</v>
      </c>
      <c r="F17" s="5">
        <v>2.8</v>
      </c>
      <c r="G17" s="12" t="s">
        <v>22</v>
      </c>
      <c r="H17" s="11">
        <f t="shared" si="0"/>
        <v>2</v>
      </c>
      <c r="I17" s="5"/>
      <c r="J17" s="5"/>
      <c r="K17" s="6"/>
    </row>
    <row r="18" spans="1:11" x14ac:dyDescent="0.3">
      <c r="A18" s="1">
        <v>16</v>
      </c>
      <c r="B18" s="2">
        <v>49.96</v>
      </c>
      <c r="C18" s="2">
        <v>53.06</v>
      </c>
      <c r="D18" s="7">
        <v>3.4027777777777775E-2</v>
      </c>
      <c r="E18" s="7">
        <v>3.6805555555555557E-2</v>
      </c>
      <c r="F18" s="2">
        <v>3.1</v>
      </c>
      <c r="G18" s="11" t="s">
        <v>23</v>
      </c>
      <c r="H18" s="11">
        <f t="shared" si="0"/>
        <v>5</v>
      </c>
      <c r="I18" s="2"/>
      <c r="J18" s="2"/>
      <c r="K18" s="3"/>
    </row>
    <row r="19" spans="1:11" x14ac:dyDescent="0.3">
      <c r="A19" s="4">
        <v>17</v>
      </c>
      <c r="B19" s="5">
        <v>53.06</v>
      </c>
      <c r="C19" s="5">
        <v>55.54</v>
      </c>
      <c r="D19" s="9">
        <v>3.6805555555555557E-2</v>
      </c>
      <c r="E19" s="9">
        <v>3.8194444444444448E-2</v>
      </c>
      <c r="F19" s="5">
        <v>2.48</v>
      </c>
      <c r="G19" s="12" t="s">
        <v>24</v>
      </c>
      <c r="H19" s="11">
        <f t="shared" si="0"/>
        <v>8</v>
      </c>
      <c r="I19" s="5"/>
      <c r="J19" s="5"/>
      <c r="K19" s="6"/>
    </row>
    <row r="20" spans="1:11" x14ac:dyDescent="0.3">
      <c r="A20" s="1">
        <v>18</v>
      </c>
      <c r="B20" s="2">
        <v>57.1</v>
      </c>
      <c r="C20" s="2">
        <v>60.04</v>
      </c>
      <c r="D20" s="7">
        <v>3.9583333333333331E-2</v>
      </c>
      <c r="E20" s="7">
        <v>4.1666666666666664E-2</v>
      </c>
      <c r="F20" s="2">
        <v>2.94</v>
      </c>
      <c r="G20" s="11" t="s">
        <v>25</v>
      </c>
      <c r="H20" s="11">
        <f t="shared" si="0"/>
        <v>8</v>
      </c>
      <c r="I20" s="2"/>
      <c r="J20" s="2"/>
      <c r="K20" s="3"/>
    </row>
    <row r="21" spans="1:11" x14ac:dyDescent="0.3">
      <c r="A21" s="4">
        <v>19</v>
      </c>
      <c r="B21" s="5">
        <v>60.04</v>
      </c>
      <c r="C21" s="5">
        <v>63.18</v>
      </c>
      <c r="D21" s="9">
        <v>4.1666666666666664E-2</v>
      </c>
      <c r="E21" s="9">
        <v>4.3749999999999997E-2</v>
      </c>
      <c r="F21" s="5">
        <v>3.14</v>
      </c>
      <c r="G21" s="12" t="s">
        <v>26</v>
      </c>
      <c r="H21" s="11">
        <f t="shared" si="0"/>
        <v>4</v>
      </c>
      <c r="I21" s="5"/>
      <c r="J21" s="5"/>
      <c r="K21" s="6"/>
    </row>
    <row r="22" spans="1:11" x14ac:dyDescent="0.3">
      <c r="A22" s="1">
        <v>20</v>
      </c>
      <c r="B22" s="2">
        <v>63.18</v>
      </c>
      <c r="C22" s="2">
        <v>65.28</v>
      </c>
      <c r="D22" s="7">
        <v>4.3749999999999997E-2</v>
      </c>
      <c r="E22" s="7">
        <v>4.5138888888888888E-2</v>
      </c>
      <c r="F22" s="2">
        <v>2.1</v>
      </c>
      <c r="G22" s="11" t="s">
        <v>27</v>
      </c>
      <c r="H22" s="11">
        <f t="shared" si="0"/>
        <v>3</v>
      </c>
      <c r="I22" s="2"/>
      <c r="J22" s="2"/>
      <c r="K22" s="3"/>
    </row>
    <row r="23" spans="1:11" x14ac:dyDescent="0.3">
      <c r="A23" s="4">
        <v>21</v>
      </c>
      <c r="B23" s="5">
        <v>65.28</v>
      </c>
      <c r="C23" s="5">
        <v>66.88</v>
      </c>
      <c r="D23" s="9">
        <v>4.5138888888888888E-2</v>
      </c>
      <c r="E23" s="9">
        <v>4.583333333333333E-2</v>
      </c>
      <c r="F23" s="5">
        <v>1.6</v>
      </c>
      <c r="G23" s="12" t="s">
        <v>28</v>
      </c>
      <c r="H23" s="11">
        <f t="shared" si="0"/>
        <v>4</v>
      </c>
      <c r="I23" s="5"/>
      <c r="J23" s="5"/>
      <c r="K23" s="6"/>
    </row>
    <row r="24" spans="1:11" x14ac:dyDescent="0.3">
      <c r="A24" s="1">
        <v>22</v>
      </c>
      <c r="B24" s="2">
        <v>66.88</v>
      </c>
      <c r="C24" s="2">
        <v>67.400000000000006</v>
      </c>
      <c r="D24" s="7">
        <v>4.583333333333333E-2</v>
      </c>
      <c r="E24" s="7">
        <v>4.6527777777777779E-2</v>
      </c>
      <c r="F24" s="2">
        <v>0.52</v>
      </c>
      <c r="G24" s="11" t="s">
        <v>29</v>
      </c>
      <c r="H24" s="11">
        <f t="shared" si="0"/>
        <v>1</v>
      </c>
      <c r="I24" s="2"/>
      <c r="J24" s="2"/>
      <c r="K24" s="3"/>
    </row>
    <row r="25" spans="1:11" x14ac:dyDescent="0.3">
      <c r="A25" s="4">
        <v>23</v>
      </c>
      <c r="B25" s="5">
        <v>67.400000000000006</v>
      </c>
      <c r="C25" s="5">
        <v>69.66</v>
      </c>
      <c r="D25" s="9">
        <v>4.6527777777777779E-2</v>
      </c>
      <c r="E25" s="9">
        <v>4.791666666666667E-2</v>
      </c>
      <c r="F25" s="5">
        <v>2.2599999999999998</v>
      </c>
      <c r="G25" s="12" t="s">
        <v>30</v>
      </c>
      <c r="H25" s="11">
        <f t="shared" si="0"/>
        <v>5</v>
      </c>
      <c r="I25" s="5">
        <v>1</v>
      </c>
      <c r="J25" s="5"/>
      <c r="K25" s="6"/>
    </row>
    <row r="26" spans="1:11" x14ac:dyDescent="0.3">
      <c r="A26" s="1">
        <v>24</v>
      </c>
      <c r="B26" s="2">
        <v>69.66</v>
      </c>
      <c r="C26" s="2">
        <v>72.319999999999993</v>
      </c>
      <c r="D26" s="7">
        <v>4.791666666666667E-2</v>
      </c>
      <c r="E26" s="7">
        <v>0.05</v>
      </c>
      <c r="F26" s="2">
        <v>2.66</v>
      </c>
      <c r="G26" s="11" t="s">
        <v>31</v>
      </c>
      <c r="H26" s="11">
        <f t="shared" si="0"/>
        <v>3</v>
      </c>
      <c r="I26" s="2"/>
      <c r="J26" s="2"/>
      <c r="K26" s="3"/>
    </row>
    <row r="27" spans="1:11" ht="28.8" x14ac:dyDescent="0.3">
      <c r="A27" s="4">
        <v>25</v>
      </c>
      <c r="B27" s="5">
        <v>72.319999999999993</v>
      </c>
      <c r="C27" s="5">
        <v>75.180000000000007</v>
      </c>
      <c r="D27" s="9">
        <v>0.05</v>
      </c>
      <c r="E27" s="9">
        <v>5.2083333333333336E-2</v>
      </c>
      <c r="F27" s="5">
        <v>2.86</v>
      </c>
      <c r="G27" s="12" t="s">
        <v>32</v>
      </c>
      <c r="H27" s="11">
        <f t="shared" si="0"/>
        <v>9</v>
      </c>
      <c r="I27" s="5"/>
      <c r="J27" s="5"/>
      <c r="K27" s="6"/>
    </row>
    <row r="28" spans="1:11" x14ac:dyDescent="0.3">
      <c r="A28" s="1">
        <v>26</v>
      </c>
      <c r="B28" s="2">
        <v>75.180000000000007</v>
      </c>
      <c r="C28" s="2">
        <v>78.319999999999993</v>
      </c>
      <c r="D28" s="7">
        <v>5.2083333333333336E-2</v>
      </c>
      <c r="E28" s="7">
        <v>5.4166666666666669E-2</v>
      </c>
      <c r="F28" s="2">
        <v>3.14</v>
      </c>
      <c r="G28" s="11" t="s">
        <v>33</v>
      </c>
      <c r="H28" s="11">
        <f t="shared" si="0"/>
        <v>9</v>
      </c>
      <c r="I28" s="2"/>
      <c r="J28" s="2"/>
      <c r="K28" s="3"/>
    </row>
    <row r="29" spans="1:11" x14ac:dyDescent="0.3">
      <c r="A29" s="4">
        <v>27</v>
      </c>
      <c r="B29" s="5">
        <v>78.319999999999993</v>
      </c>
      <c r="C29" s="5">
        <v>81.180000000000007</v>
      </c>
      <c r="D29" s="9">
        <v>5.4166666666666669E-2</v>
      </c>
      <c r="E29" s="9">
        <v>5.6250000000000001E-2</v>
      </c>
      <c r="F29" s="5">
        <v>2.86</v>
      </c>
      <c r="G29" s="12" t="s">
        <v>34</v>
      </c>
      <c r="H29" s="11">
        <f t="shared" si="0"/>
        <v>2</v>
      </c>
      <c r="I29" s="5">
        <v>2</v>
      </c>
      <c r="J29" s="5"/>
      <c r="K29" s="6"/>
    </row>
    <row r="30" spans="1:11" x14ac:dyDescent="0.3">
      <c r="A30" s="1">
        <v>28</v>
      </c>
      <c r="B30" s="2">
        <v>81.180000000000007</v>
      </c>
      <c r="C30" s="2">
        <v>83.74</v>
      </c>
      <c r="D30" s="7">
        <v>5.6250000000000001E-2</v>
      </c>
      <c r="E30" s="7">
        <v>5.7638888888888892E-2</v>
      </c>
      <c r="F30" s="2">
        <v>2.56</v>
      </c>
      <c r="G30" s="11" t="s">
        <v>35</v>
      </c>
      <c r="H30" s="11">
        <f t="shared" si="0"/>
        <v>2</v>
      </c>
      <c r="I30" s="2"/>
      <c r="J30" s="2"/>
      <c r="K30" s="3"/>
    </row>
    <row r="31" spans="1:11" x14ac:dyDescent="0.3">
      <c r="A31" s="4">
        <v>29</v>
      </c>
      <c r="B31" s="5">
        <v>83.74</v>
      </c>
      <c r="C31" s="5">
        <v>85.78</v>
      </c>
      <c r="D31" s="9">
        <v>5.7638888888888892E-2</v>
      </c>
      <c r="E31" s="9">
        <v>5.9027777777777776E-2</v>
      </c>
      <c r="F31" s="5">
        <v>2.04</v>
      </c>
      <c r="G31" s="12" t="s">
        <v>36</v>
      </c>
      <c r="H31" s="11">
        <f t="shared" si="0"/>
        <v>3</v>
      </c>
      <c r="I31" s="5">
        <v>1</v>
      </c>
      <c r="J31" s="5"/>
      <c r="K31" s="6"/>
    </row>
    <row r="32" spans="1:11" x14ac:dyDescent="0.3">
      <c r="A32" s="1">
        <v>30</v>
      </c>
      <c r="B32" s="2">
        <v>86.27</v>
      </c>
      <c r="C32" s="2">
        <v>88.07</v>
      </c>
      <c r="D32" s="7">
        <v>5.9722222222222225E-2</v>
      </c>
      <c r="E32" s="7">
        <v>6.1111111111111109E-2</v>
      </c>
      <c r="F32" s="2">
        <v>1.8</v>
      </c>
      <c r="G32" s="11" t="s">
        <v>37</v>
      </c>
      <c r="H32" s="11">
        <f t="shared" si="0"/>
        <v>3</v>
      </c>
      <c r="I32" s="2">
        <v>3</v>
      </c>
      <c r="J32" s="2"/>
      <c r="K32" s="3"/>
    </row>
    <row r="33" spans="1:11" x14ac:dyDescent="0.3">
      <c r="A33" s="4">
        <v>31</v>
      </c>
      <c r="B33" s="5">
        <v>88.07</v>
      </c>
      <c r="C33" s="5">
        <v>91.17</v>
      </c>
      <c r="D33" s="9">
        <v>6.1111111111111109E-2</v>
      </c>
      <c r="E33" s="9">
        <v>6.3194444444444442E-2</v>
      </c>
      <c r="F33" s="5">
        <v>3.1</v>
      </c>
      <c r="G33" s="12" t="s">
        <v>38</v>
      </c>
      <c r="H33" s="11">
        <f t="shared" si="0"/>
        <v>2</v>
      </c>
      <c r="I33" s="5"/>
      <c r="J33" s="5"/>
      <c r="K33" s="6"/>
    </row>
    <row r="34" spans="1:11" x14ac:dyDescent="0.3">
      <c r="A34" s="1">
        <v>32</v>
      </c>
      <c r="B34" s="2">
        <v>94.93</v>
      </c>
      <c r="C34" s="2">
        <v>102.55</v>
      </c>
      <c r="D34" s="7">
        <v>6.5277777777777782E-2</v>
      </c>
      <c r="E34" s="7">
        <v>7.0833333333333331E-2</v>
      </c>
      <c r="F34" s="2">
        <v>7.62</v>
      </c>
      <c r="G34" s="11" t="s">
        <v>39</v>
      </c>
      <c r="H34" s="11">
        <f t="shared" si="0"/>
        <v>2</v>
      </c>
      <c r="I34" s="2">
        <v>2</v>
      </c>
      <c r="J34" s="2"/>
      <c r="K34" s="3"/>
    </row>
    <row r="35" spans="1:11" x14ac:dyDescent="0.3">
      <c r="A35" s="4">
        <v>33</v>
      </c>
      <c r="B35" s="5">
        <v>102.55</v>
      </c>
      <c r="C35" s="5">
        <v>105.55</v>
      </c>
      <c r="D35" s="9">
        <v>7.0833333333333331E-2</v>
      </c>
      <c r="E35" s="9">
        <v>7.2916666666666671E-2</v>
      </c>
      <c r="F35" s="5">
        <v>3</v>
      </c>
      <c r="G35" s="12" t="s">
        <v>40</v>
      </c>
      <c r="H35" s="11">
        <f t="shared" si="0"/>
        <v>1</v>
      </c>
      <c r="I35" s="5"/>
      <c r="J35" s="5"/>
      <c r="K35" s="6"/>
    </row>
    <row r="36" spans="1:11" x14ac:dyDescent="0.3">
      <c r="A36" s="1">
        <v>34</v>
      </c>
      <c r="B36" s="2">
        <v>111.21</v>
      </c>
      <c r="C36" s="2">
        <v>113.41</v>
      </c>
      <c r="D36" s="7">
        <v>7.7083333333333337E-2</v>
      </c>
      <c r="E36" s="7">
        <v>7.8472222222222221E-2</v>
      </c>
      <c r="F36" s="2">
        <v>2.2000000000000002</v>
      </c>
      <c r="G36" s="11" t="s">
        <v>41</v>
      </c>
      <c r="H36" s="11">
        <f t="shared" si="0"/>
        <v>5</v>
      </c>
      <c r="I36" s="2"/>
      <c r="J36" s="2"/>
      <c r="K36" s="3"/>
    </row>
    <row r="37" spans="1:11" x14ac:dyDescent="0.3">
      <c r="A37" s="4">
        <v>35</v>
      </c>
      <c r="B37" s="5">
        <v>113.41</v>
      </c>
      <c r="C37" s="5">
        <v>115.89</v>
      </c>
      <c r="D37" s="9">
        <v>7.8472222222222221E-2</v>
      </c>
      <c r="E37" s="9">
        <v>7.9861111111111105E-2</v>
      </c>
      <c r="F37" s="5">
        <v>2.48</v>
      </c>
      <c r="G37" s="12" t="s">
        <v>42</v>
      </c>
      <c r="H37" s="11">
        <f t="shared" si="0"/>
        <v>5</v>
      </c>
      <c r="I37" s="5"/>
      <c r="J37" s="5"/>
      <c r="K37" s="6"/>
    </row>
    <row r="38" spans="1:11" ht="28.8" x14ac:dyDescent="0.3">
      <c r="A38" s="1">
        <v>36</v>
      </c>
      <c r="B38" s="2">
        <v>120.16</v>
      </c>
      <c r="C38" s="2">
        <v>124.42</v>
      </c>
      <c r="D38" s="7">
        <v>8.3333333333333329E-2</v>
      </c>
      <c r="E38" s="7">
        <v>8.611111111111111E-2</v>
      </c>
      <c r="F38" s="2">
        <v>4.26</v>
      </c>
      <c r="G38" s="11" t="s">
        <v>43</v>
      </c>
      <c r="H38" s="11">
        <f t="shared" si="0"/>
        <v>13</v>
      </c>
      <c r="I38" s="2"/>
      <c r="J38" s="2"/>
      <c r="K38" s="3"/>
    </row>
    <row r="39" spans="1:11" ht="28.8" x14ac:dyDescent="0.3">
      <c r="A39" s="4">
        <v>37</v>
      </c>
      <c r="B39" s="5">
        <v>124.42</v>
      </c>
      <c r="C39" s="5">
        <v>129.24</v>
      </c>
      <c r="D39" s="9">
        <v>8.611111111111111E-2</v>
      </c>
      <c r="E39" s="9">
        <v>8.9583333333333334E-2</v>
      </c>
      <c r="F39" s="5">
        <v>4.82</v>
      </c>
      <c r="G39" s="12" t="s">
        <v>44</v>
      </c>
      <c r="H39" s="11">
        <f t="shared" si="0"/>
        <v>13</v>
      </c>
      <c r="I39" s="5"/>
      <c r="J39" s="5"/>
      <c r="K39" s="6"/>
    </row>
    <row r="40" spans="1:11" ht="28.8" x14ac:dyDescent="0.3">
      <c r="A40" s="1">
        <v>38</v>
      </c>
      <c r="B40" s="2">
        <v>129.24</v>
      </c>
      <c r="C40" s="2">
        <v>135.62</v>
      </c>
      <c r="D40" s="7">
        <v>8.9583333333333334E-2</v>
      </c>
      <c r="E40" s="7">
        <v>9.375E-2</v>
      </c>
      <c r="F40" s="2">
        <v>6.38</v>
      </c>
      <c r="G40" s="11" t="s">
        <v>45</v>
      </c>
      <c r="H40" s="11">
        <f t="shared" si="0"/>
        <v>15</v>
      </c>
      <c r="I40" s="2"/>
      <c r="J40" s="2"/>
      <c r="K40" s="3"/>
    </row>
    <row r="41" spans="1:11" ht="28.8" x14ac:dyDescent="0.3">
      <c r="A41" s="4">
        <v>39</v>
      </c>
      <c r="B41" s="5">
        <v>135.62</v>
      </c>
      <c r="C41" s="5">
        <v>141.04</v>
      </c>
      <c r="D41" s="9">
        <v>9.375E-2</v>
      </c>
      <c r="E41" s="9">
        <v>9.7916666666666666E-2</v>
      </c>
      <c r="F41" s="5">
        <v>5.42</v>
      </c>
      <c r="G41" s="12" t="s">
        <v>46</v>
      </c>
      <c r="H41" s="11">
        <f t="shared" si="0"/>
        <v>12</v>
      </c>
      <c r="I41" s="5"/>
      <c r="J41" s="5"/>
      <c r="K41" s="6"/>
    </row>
    <row r="42" spans="1:11" ht="28.8" x14ac:dyDescent="0.3">
      <c r="A42" s="1">
        <v>40</v>
      </c>
      <c r="B42" s="2">
        <v>141.04</v>
      </c>
      <c r="C42" s="2">
        <v>145.30000000000001</v>
      </c>
      <c r="D42" s="7">
        <v>9.7916666666666666E-2</v>
      </c>
      <c r="E42" s="7">
        <v>0.10069444444444445</v>
      </c>
      <c r="F42" s="2">
        <v>4.26</v>
      </c>
      <c r="G42" s="11" t="s">
        <v>47</v>
      </c>
      <c r="H42" s="11">
        <f t="shared" si="0"/>
        <v>10</v>
      </c>
      <c r="I42" s="2"/>
      <c r="J42" s="2"/>
      <c r="K42" s="3"/>
    </row>
    <row r="43" spans="1:11" x14ac:dyDescent="0.3">
      <c r="A43" s="4">
        <v>41</v>
      </c>
      <c r="B43" s="5">
        <v>145.30000000000001</v>
      </c>
      <c r="C43" s="5">
        <v>148.13999999999999</v>
      </c>
      <c r="D43" s="9">
        <v>0.10069444444444445</v>
      </c>
      <c r="E43" s="9">
        <v>0.10277777777777777</v>
      </c>
      <c r="F43" s="5">
        <v>2.84</v>
      </c>
      <c r="G43" s="12" t="s">
        <v>48</v>
      </c>
      <c r="H43" s="11">
        <f t="shared" si="0"/>
        <v>7</v>
      </c>
      <c r="I43" s="5"/>
      <c r="J43" s="5"/>
      <c r="K43" s="6"/>
    </row>
    <row r="44" spans="1:11" x14ac:dyDescent="0.3">
      <c r="A44" s="1">
        <v>42</v>
      </c>
      <c r="B44" s="2">
        <v>148.13999999999999</v>
      </c>
      <c r="C44" s="2">
        <v>149.88</v>
      </c>
      <c r="D44" s="7">
        <v>0.10277777777777777</v>
      </c>
      <c r="E44" s="7">
        <v>0.10347222222222222</v>
      </c>
      <c r="F44" s="2">
        <v>1.74</v>
      </c>
      <c r="G44" s="11" t="s">
        <v>49</v>
      </c>
      <c r="H44" s="11">
        <f t="shared" si="0"/>
        <v>6</v>
      </c>
      <c r="I44" s="2"/>
      <c r="J44" s="2"/>
      <c r="K44" s="3"/>
    </row>
    <row r="45" spans="1:11" x14ac:dyDescent="0.3">
      <c r="A45" s="4">
        <v>43</v>
      </c>
      <c r="B45" s="5">
        <v>149.88</v>
      </c>
      <c r="C45" s="5">
        <v>150.58000000000001</v>
      </c>
      <c r="D45" s="9">
        <v>0.10347222222222222</v>
      </c>
      <c r="E45" s="9">
        <v>0.10416666666666667</v>
      </c>
      <c r="F45" s="5">
        <v>0.7</v>
      </c>
      <c r="G45" s="12" t="s">
        <v>50</v>
      </c>
      <c r="H45" s="11">
        <f t="shared" si="0"/>
        <v>2</v>
      </c>
      <c r="I45" s="5"/>
      <c r="J45" s="5"/>
      <c r="K45" s="6"/>
    </row>
    <row r="46" spans="1:11" x14ac:dyDescent="0.3">
      <c r="A46" s="1">
        <v>44</v>
      </c>
      <c r="B46" s="2">
        <v>150.58000000000001</v>
      </c>
      <c r="C46" s="2">
        <v>152.38</v>
      </c>
      <c r="D46" s="7">
        <v>0.10416666666666667</v>
      </c>
      <c r="E46" s="7">
        <v>0.10555555555555556</v>
      </c>
      <c r="F46" s="2">
        <v>1.8</v>
      </c>
      <c r="G46" s="11" t="s">
        <v>51</v>
      </c>
      <c r="H46" s="11">
        <f t="shared" si="0"/>
        <v>2</v>
      </c>
      <c r="I46" s="2"/>
      <c r="J46" s="2"/>
      <c r="K46" s="3"/>
    </row>
    <row r="47" spans="1:11" x14ac:dyDescent="0.3">
      <c r="A47" s="4">
        <v>45</v>
      </c>
      <c r="B47" s="5">
        <v>152.38</v>
      </c>
      <c r="C47" s="5">
        <v>153.9</v>
      </c>
      <c r="D47" s="9">
        <v>0.10555555555555556</v>
      </c>
      <c r="E47" s="9">
        <v>0.10625</v>
      </c>
      <c r="F47" s="5">
        <v>1.52</v>
      </c>
      <c r="G47" s="12" t="s">
        <v>52</v>
      </c>
      <c r="H47" s="11">
        <f t="shared" si="0"/>
        <v>1</v>
      </c>
      <c r="I47" s="5"/>
      <c r="J47" s="5"/>
      <c r="K47" s="6"/>
    </row>
    <row r="48" spans="1:11" x14ac:dyDescent="0.3">
      <c r="A48" s="1">
        <v>46</v>
      </c>
      <c r="B48" s="2">
        <v>153.9</v>
      </c>
      <c r="C48" s="2">
        <v>157.30000000000001</v>
      </c>
      <c r="D48" s="7">
        <v>0.10625</v>
      </c>
      <c r="E48" s="7">
        <v>0.10902777777777778</v>
      </c>
      <c r="F48" s="2">
        <v>3.4</v>
      </c>
      <c r="G48" s="11" t="s">
        <v>53</v>
      </c>
      <c r="H48" s="11">
        <f t="shared" si="0"/>
        <v>3</v>
      </c>
      <c r="I48" s="2"/>
      <c r="J48" s="2"/>
      <c r="K48" s="3"/>
    </row>
    <row r="49" spans="1:11" ht="28.8" x14ac:dyDescent="0.3">
      <c r="A49" s="4">
        <v>47</v>
      </c>
      <c r="B49" s="5">
        <v>157.30000000000001</v>
      </c>
      <c r="C49" s="5">
        <v>162.62</v>
      </c>
      <c r="D49" s="9">
        <v>0.10902777777777778</v>
      </c>
      <c r="E49" s="9">
        <v>0.1125</v>
      </c>
      <c r="F49" s="5">
        <v>5.32</v>
      </c>
      <c r="G49" s="12" t="s">
        <v>54</v>
      </c>
      <c r="H49" s="11">
        <f t="shared" si="0"/>
        <v>12</v>
      </c>
      <c r="I49" s="5"/>
      <c r="J49" s="5"/>
      <c r="K49" s="6"/>
    </row>
    <row r="50" spans="1:11" x14ac:dyDescent="0.3">
      <c r="A50" s="1">
        <v>48</v>
      </c>
      <c r="B50" s="2">
        <v>162.62</v>
      </c>
      <c r="C50" s="2">
        <v>165.84</v>
      </c>
      <c r="D50" s="7">
        <v>0.1125</v>
      </c>
      <c r="E50" s="7">
        <v>0.11458333333333333</v>
      </c>
      <c r="F50" s="2">
        <v>3.22</v>
      </c>
      <c r="G50" s="11" t="s">
        <v>55</v>
      </c>
      <c r="H50" s="11">
        <f t="shared" si="0"/>
        <v>5</v>
      </c>
      <c r="I50" s="2">
        <v>6</v>
      </c>
      <c r="J50" s="2"/>
      <c r="K50" s="3">
        <v>2</v>
      </c>
    </row>
    <row r="51" spans="1:11" ht="72" x14ac:dyDescent="0.3">
      <c r="A51" s="4">
        <v>49</v>
      </c>
      <c r="B51" s="5">
        <v>166.55</v>
      </c>
      <c r="C51" s="5">
        <v>179.29</v>
      </c>
      <c r="D51" s="9">
        <v>0.11527777777777778</v>
      </c>
      <c r="E51" s="9">
        <v>0.12430555555555556</v>
      </c>
      <c r="F51" s="5">
        <v>12.74</v>
      </c>
      <c r="G51" s="12" t="s">
        <v>56</v>
      </c>
      <c r="H51" s="11">
        <f t="shared" si="0"/>
        <v>35</v>
      </c>
      <c r="I51" s="5">
        <v>1</v>
      </c>
      <c r="J51" s="5"/>
      <c r="K51" s="6">
        <v>1</v>
      </c>
    </row>
    <row r="52" spans="1:11" x14ac:dyDescent="0.3">
      <c r="A52" s="1">
        <v>50</v>
      </c>
      <c r="B52" s="2">
        <v>179.29</v>
      </c>
      <c r="C52" s="2">
        <v>180.67</v>
      </c>
      <c r="D52" s="7">
        <v>0.12430555555555556</v>
      </c>
      <c r="E52" s="7">
        <v>0.125</v>
      </c>
      <c r="F52" s="2">
        <v>1.38</v>
      </c>
      <c r="G52" s="11" t="s">
        <v>57</v>
      </c>
      <c r="H52" s="11">
        <f t="shared" si="0"/>
        <v>3</v>
      </c>
      <c r="I52" s="2"/>
      <c r="J52" s="2"/>
      <c r="K52" s="3"/>
    </row>
    <row r="53" spans="1:11" ht="43.2" x14ac:dyDescent="0.3">
      <c r="A53" s="4">
        <v>51</v>
      </c>
      <c r="B53" s="5">
        <v>180.67</v>
      </c>
      <c r="C53" s="5">
        <v>188.51</v>
      </c>
      <c r="D53" s="9">
        <v>0.125</v>
      </c>
      <c r="E53" s="9">
        <v>0.13055555555555556</v>
      </c>
      <c r="F53" s="5">
        <v>7.84</v>
      </c>
      <c r="G53" s="12" t="s">
        <v>58</v>
      </c>
      <c r="H53" s="11">
        <f t="shared" si="0"/>
        <v>17</v>
      </c>
      <c r="I53" s="5"/>
      <c r="J53" s="5"/>
      <c r="K53" s="6"/>
    </row>
    <row r="54" spans="1:11" ht="28.8" x14ac:dyDescent="0.3">
      <c r="A54" s="1">
        <v>52</v>
      </c>
      <c r="B54" s="2">
        <v>195.17</v>
      </c>
      <c r="C54" s="2">
        <v>199.69</v>
      </c>
      <c r="D54" s="7">
        <v>0.13541666666666666</v>
      </c>
      <c r="E54" s="7">
        <v>0.13819444444444445</v>
      </c>
      <c r="F54" s="2">
        <v>4.5199999999999996</v>
      </c>
      <c r="G54" s="11" t="s">
        <v>59</v>
      </c>
      <c r="H54" s="11">
        <f t="shared" si="0"/>
        <v>12</v>
      </c>
      <c r="I54" s="2"/>
      <c r="J54" s="2"/>
      <c r="K54" s="3"/>
    </row>
    <row r="55" spans="1:11" x14ac:dyDescent="0.3">
      <c r="A55" s="4">
        <v>53</v>
      </c>
      <c r="B55" s="5">
        <v>199.69</v>
      </c>
      <c r="C55" s="5">
        <v>202.53</v>
      </c>
      <c r="D55" s="9">
        <v>0.13819444444444445</v>
      </c>
      <c r="E55" s="9">
        <v>0.14027777777777778</v>
      </c>
      <c r="F55" s="5">
        <v>2.84</v>
      </c>
      <c r="G55" s="12" t="s">
        <v>60</v>
      </c>
      <c r="H55" s="11">
        <f t="shared" si="0"/>
        <v>5</v>
      </c>
      <c r="I55" s="5"/>
      <c r="J55" s="5"/>
      <c r="K55" s="6"/>
    </row>
    <row r="56" spans="1:11" x14ac:dyDescent="0.3">
      <c r="A56" s="1">
        <v>54</v>
      </c>
      <c r="B56" s="2">
        <v>202.53</v>
      </c>
      <c r="C56" s="2">
        <v>205.89</v>
      </c>
      <c r="D56" s="7">
        <v>0.14027777777777778</v>
      </c>
      <c r="E56" s="7">
        <v>0.1423611111111111</v>
      </c>
      <c r="F56" s="2">
        <v>3.36</v>
      </c>
      <c r="G56" s="11" t="s">
        <v>61</v>
      </c>
      <c r="H56" s="11">
        <f t="shared" si="0"/>
        <v>5</v>
      </c>
      <c r="I56" s="2"/>
      <c r="J56" s="2"/>
      <c r="K56" s="3"/>
    </row>
    <row r="57" spans="1:11" x14ac:dyDescent="0.3">
      <c r="A57" s="4">
        <v>55</v>
      </c>
      <c r="B57" s="5">
        <v>205.89</v>
      </c>
      <c r="C57" s="5">
        <v>208.63</v>
      </c>
      <c r="D57" s="9">
        <v>0.1423611111111111</v>
      </c>
      <c r="E57" s="9">
        <v>0.14444444444444443</v>
      </c>
      <c r="F57" s="5">
        <v>2.74</v>
      </c>
      <c r="G57" s="12" t="s">
        <v>62</v>
      </c>
      <c r="H57" s="11">
        <f t="shared" si="0"/>
        <v>5</v>
      </c>
      <c r="I57" s="5"/>
      <c r="J57" s="5"/>
      <c r="K57" s="6"/>
    </row>
    <row r="58" spans="1:11" x14ac:dyDescent="0.3">
      <c r="A58" s="1">
        <v>56</v>
      </c>
      <c r="B58" s="2">
        <v>208.63</v>
      </c>
      <c r="C58" s="2">
        <v>209.55</v>
      </c>
      <c r="D58" s="7">
        <v>0.14444444444444443</v>
      </c>
      <c r="E58" s="7">
        <v>0.1451388888888889</v>
      </c>
      <c r="F58" s="2">
        <v>0.92</v>
      </c>
      <c r="G58" s="11" t="s">
        <v>63</v>
      </c>
      <c r="H58" s="11">
        <f t="shared" si="0"/>
        <v>3</v>
      </c>
      <c r="I58" s="2"/>
      <c r="J58" s="2"/>
      <c r="K58" s="3"/>
    </row>
    <row r="59" spans="1:11" x14ac:dyDescent="0.3">
      <c r="A59" s="4">
        <v>57</v>
      </c>
      <c r="B59" s="5">
        <v>209.55</v>
      </c>
      <c r="C59" s="5">
        <v>213.29</v>
      </c>
      <c r="D59" s="9">
        <v>0.1451388888888889</v>
      </c>
      <c r="E59" s="9">
        <v>0.14791666666666667</v>
      </c>
      <c r="F59" s="5">
        <v>3.74</v>
      </c>
      <c r="G59" s="12" t="s">
        <v>64</v>
      </c>
      <c r="H59" s="11">
        <f t="shared" si="0"/>
        <v>3</v>
      </c>
      <c r="I59" s="5"/>
      <c r="J59" s="5"/>
      <c r="K59" s="6"/>
    </row>
    <row r="60" spans="1:11" x14ac:dyDescent="0.3">
      <c r="A60" s="1">
        <v>58</v>
      </c>
      <c r="B60" s="2">
        <v>213.95</v>
      </c>
      <c r="C60" s="2">
        <v>216.45</v>
      </c>
      <c r="D60" s="7">
        <v>0.14791666666666667</v>
      </c>
      <c r="E60" s="7">
        <v>0.15</v>
      </c>
      <c r="F60" s="2">
        <v>2.5</v>
      </c>
      <c r="G60" s="11" t="s">
        <v>65</v>
      </c>
      <c r="H60" s="11">
        <f t="shared" si="0"/>
        <v>4</v>
      </c>
      <c r="I60" s="2"/>
      <c r="J60" s="2"/>
      <c r="K60" s="3"/>
    </row>
    <row r="61" spans="1:11" x14ac:dyDescent="0.3">
      <c r="A61" s="4">
        <v>59</v>
      </c>
      <c r="B61" s="5">
        <v>216.45</v>
      </c>
      <c r="C61" s="5">
        <v>217.61</v>
      </c>
      <c r="D61" s="9">
        <v>0.15</v>
      </c>
      <c r="E61" s="9">
        <v>0.15069444444444444</v>
      </c>
      <c r="F61" s="5">
        <v>1.1599999999999999</v>
      </c>
      <c r="G61" s="12" t="s">
        <v>66</v>
      </c>
      <c r="H61" s="11">
        <f t="shared" si="0"/>
        <v>3</v>
      </c>
      <c r="I61" s="5"/>
      <c r="J61" s="5"/>
      <c r="K61" s="6"/>
    </row>
    <row r="62" spans="1:11" x14ac:dyDescent="0.3">
      <c r="A62" s="1">
        <v>60</v>
      </c>
      <c r="B62" s="2">
        <v>217.61</v>
      </c>
      <c r="C62" s="2">
        <v>218.67</v>
      </c>
      <c r="D62" s="7">
        <v>0.15069444444444444</v>
      </c>
      <c r="E62" s="7">
        <v>0.15138888888888888</v>
      </c>
      <c r="F62" s="2">
        <v>1.06</v>
      </c>
      <c r="G62" s="8" t="s">
        <v>67</v>
      </c>
      <c r="H62" s="11">
        <f t="shared" si="0"/>
        <v>4</v>
      </c>
      <c r="I62" s="2"/>
      <c r="J62" s="2"/>
      <c r="K62" s="2"/>
    </row>
    <row r="63" spans="1:11" x14ac:dyDescent="0.3">
      <c r="A63" s="4">
        <v>61</v>
      </c>
      <c r="B63" s="5">
        <v>218.67</v>
      </c>
      <c r="C63" s="5">
        <v>220.17</v>
      </c>
      <c r="D63" s="9">
        <v>0.15138888888888888</v>
      </c>
      <c r="E63" s="9">
        <v>0.15277777777777779</v>
      </c>
      <c r="F63" s="5">
        <v>1.5</v>
      </c>
      <c r="G63" s="10" t="s">
        <v>145</v>
      </c>
      <c r="H63" s="11">
        <f t="shared" si="0"/>
        <v>3</v>
      </c>
      <c r="I63" s="5"/>
      <c r="J63" s="5"/>
      <c r="K63" s="5"/>
    </row>
    <row r="64" spans="1:11" x14ac:dyDescent="0.3">
      <c r="A64" s="1">
        <v>62</v>
      </c>
      <c r="B64" s="2">
        <v>220.17</v>
      </c>
      <c r="C64" s="2">
        <v>222.72</v>
      </c>
      <c r="D64" s="7">
        <v>0.15277777777777779</v>
      </c>
      <c r="E64" s="7">
        <v>0.15416666666666667</v>
      </c>
      <c r="F64" s="2">
        <v>2.5499999999999998</v>
      </c>
      <c r="G64" s="8" t="s">
        <v>146</v>
      </c>
      <c r="H64" s="11">
        <f t="shared" si="0"/>
        <v>7</v>
      </c>
      <c r="I64" s="2"/>
      <c r="J64" s="2"/>
      <c r="K64" s="2"/>
    </row>
    <row r="65" spans="1:11" x14ac:dyDescent="0.3">
      <c r="A65" s="4">
        <v>63</v>
      </c>
      <c r="B65" s="5">
        <v>222.72</v>
      </c>
      <c r="C65" s="5">
        <v>223.82</v>
      </c>
      <c r="D65" s="9">
        <v>0.15416666666666667</v>
      </c>
      <c r="E65" s="9">
        <v>0.15486111111111112</v>
      </c>
      <c r="F65" s="5">
        <v>1.1000000000000001</v>
      </c>
      <c r="G65" s="10" t="s">
        <v>68</v>
      </c>
      <c r="H65" s="11">
        <f t="shared" si="0"/>
        <v>1</v>
      </c>
      <c r="I65" s="5"/>
      <c r="J65" s="5"/>
      <c r="K65" s="5"/>
    </row>
    <row r="66" spans="1:11" x14ac:dyDescent="0.3">
      <c r="A66" s="1">
        <v>64</v>
      </c>
      <c r="B66" s="2">
        <v>223.82</v>
      </c>
      <c r="C66" s="2">
        <v>226.66</v>
      </c>
      <c r="D66" s="7">
        <v>0.15486111111111112</v>
      </c>
      <c r="E66" s="7">
        <v>0.15694444444444444</v>
      </c>
      <c r="F66" s="2">
        <v>2.84</v>
      </c>
      <c r="G66" s="8" t="s">
        <v>147</v>
      </c>
      <c r="H66" s="11">
        <f t="shared" si="0"/>
        <v>6</v>
      </c>
      <c r="I66" s="2"/>
      <c r="J66" s="2"/>
      <c r="K66" s="2"/>
    </row>
    <row r="67" spans="1:11" x14ac:dyDescent="0.3">
      <c r="A67" s="4">
        <v>65</v>
      </c>
      <c r="B67" s="5">
        <v>226.66</v>
      </c>
      <c r="C67" s="5">
        <v>229.37</v>
      </c>
      <c r="D67" s="9">
        <v>0.15694444444444444</v>
      </c>
      <c r="E67" s="9">
        <v>0.15902777777777777</v>
      </c>
      <c r="F67" s="5">
        <v>2.71</v>
      </c>
      <c r="G67" s="10" t="s">
        <v>148</v>
      </c>
      <c r="H67" s="11">
        <f t="shared" ref="H67:H130" si="1">LEN(TRIM(G67))-LEN(SUBSTITUTE(TRIM(G67)," ",""))+1</f>
        <v>9</v>
      </c>
      <c r="I67" s="5">
        <v>1</v>
      </c>
      <c r="J67" s="5"/>
      <c r="K67" s="5"/>
    </row>
    <row r="68" spans="1:11" x14ac:dyDescent="0.3">
      <c r="A68" s="1">
        <v>66</v>
      </c>
      <c r="B68" s="2">
        <v>229.37</v>
      </c>
      <c r="C68" s="2">
        <v>235.44</v>
      </c>
      <c r="D68" s="7">
        <v>0.15902777777777777</v>
      </c>
      <c r="E68" s="7">
        <v>0.16319444444444445</v>
      </c>
      <c r="F68" s="2">
        <v>6.07</v>
      </c>
      <c r="G68" s="8" t="s">
        <v>144</v>
      </c>
      <c r="H68" s="11">
        <f t="shared" si="1"/>
        <v>11</v>
      </c>
      <c r="I68" s="2"/>
      <c r="J68" s="2"/>
      <c r="K68" s="2"/>
    </row>
    <row r="69" spans="1:11" x14ac:dyDescent="0.3">
      <c r="A69" s="4">
        <v>67</v>
      </c>
      <c r="B69" s="5">
        <v>235.44</v>
      </c>
      <c r="C69" s="5">
        <v>239.37</v>
      </c>
      <c r="D69" s="9">
        <v>0.16319444444444445</v>
      </c>
      <c r="E69" s="9">
        <v>0.16597222222222222</v>
      </c>
      <c r="F69" s="5">
        <v>3.93</v>
      </c>
      <c r="G69" s="10" t="s">
        <v>149</v>
      </c>
      <c r="H69" s="11">
        <f t="shared" si="1"/>
        <v>9</v>
      </c>
      <c r="I69" s="5">
        <v>4</v>
      </c>
      <c r="J69" s="5">
        <v>1</v>
      </c>
      <c r="K69" s="5"/>
    </row>
    <row r="70" spans="1:11" x14ac:dyDescent="0.3">
      <c r="A70" s="1">
        <v>68</v>
      </c>
      <c r="B70" s="2">
        <v>239.37</v>
      </c>
      <c r="C70" s="2">
        <v>242.62</v>
      </c>
      <c r="D70" s="7">
        <v>0.16597222222222222</v>
      </c>
      <c r="E70" s="7">
        <v>0.16805555555555557</v>
      </c>
      <c r="F70" s="2">
        <v>3.25</v>
      </c>
      <c r="G70" s="8" t="s">
        <v>150</v>
      </c>
      <c r="H70" s="11">
        <f t="shared" si="1"/>
        <v>5</v>
      </c>
      <c r="I70" s="2">
        <v>1</v>
      </c>
      <c r="J70" s="2"/>
      <c r="K70" s="2"/>
    </row>
    <row r="71" spans="1:11" x14ac:dyDescent="0.3">
      <c r="A71" s="4">
        <v>69</v>
      </c>
      <c r="B71" s="5">
        <v>242.62</v>
      </c>
      <c r="C71" s="5">
        <v>244.53</v>
      </c>
      <c r="D71" s="9">
        <v>0.16805555555555557</v>
      </c>
      <c r="E71" s="9">
        <v>0.16944444444444445</v>
      </c>
      <c r="F71" s="5">
        <v>1.91</v>
      </c>
      <c r="G71" s="10" t="s">
        <v>151</v>
      </c>
      <c r="H71" s="11">
        <f t="shared" si="1"/>
        <v>2</v>
      </c>
      <c r="I71" s="5"/>
      <c r="J71" s="5"/>
      <c r="K71" s="5">
        <v>1</v>
      </c>
    </row>
    <row r="72" spans="1:11" x14ac:dyDescent="0.3">
      <c r="A72" s="1">
        <v>70</v>
      </c>
      <c r="B72" s="2">
        <v>244.53</v>
      </c>
      <c r="C72" s="2">
        <v>246.21</v>
      </c>
      <c r="D72" s="7">
        <v>0.16944444444444445</v>
      </c>
      <c r="E72" s="7">
        <v>0.17083333333333334</v>
      </c>
      <c r="F72" s="2">
        <v>1.68</v>
      </c>
      <c r="G72" s="8" t="s">
        <v>69</v>
      </c>
      <c r="H72" s="11">
        <f t="shared" si="1"/>
        <v>4</v>
      </c>
      <c r="I72" s="2"/>
      <c r="J72" s="2"/>
      <c r="K72" s="2"/>
    </row>
    <row r="73" spans="1:11" x14ac:dyDescent="0.3">
      <c r="A73" s="4">
        <v>71</v>
      </c>
      <c r="B73" s="5">
        <v>246.21</v>
      </c>
      <c r="C73" s="5">
        <v>248.37</v>
      </c>
      <c r="D73" s="9">
        <v>0.17083333333333334</v>
      </c>
      <c r="E73" s="9">
        <v>0.17222222222222222</v>
      </c>
      <c r="F73" s="5">
        <v>2.16</v>
      </c>
      <c r="G73" s="10" t="s">
        <v>152</v>
      </c>
      <c r="H73" s="11">
        <f t="shared" si="1"/>
        <v>6</v>
      </c>
      <c r="I73" s="5"/>
      <c r="J73" s="5"/>
      <c r="K73" s="5"/>
    </row>
    <row r="74" spans="1:11" x14ac:dyDescent="0.3">
      <c r="A74" s="1">
        <v>72</v>
      </c>
      <c r="B74" s="2">
        <v>254.03</v>
      </c>
      <c r="C74" s="2">
        <v>255.77</v>
      </c>
      <c r="D74" s="7">
        <v>0.1763888888888889</v>
      </c>
      <c r="E74" s="7">
        <v>0.17708333333333334</v>
      </c>
      <c r="F74" s="2">
        <v>1.74</v>
      </c>
      <c r="G74" s="8" t="s">
        <v>153</v>
      </c>
      <c r="H74" s="11">
        <f t="shared" si="1"/>
        <v>4</v>
      </c>
      <c r="I74" s="2"/>
      <c r="J74" s="2"/>
      <c r="K74" s="2"/>
    </row>
    <row r="75" spans="1:11" x14ac:dyDescent="0.3">
      <c r="A75" s="4">
        <v>73</v>
      </c>
      <c r="B75" s="5">
        <v>255.77</v>
      </c>
      <c r="C75" s="5">
        <v>256.79000000000002</v>
      </c>
      <c r="D75" s="9">
        <v>0.17708333333333334</v>
      </c>
      <c r="E75" s="9">
        <v>0.17777777777777778</v>
      </c>
      <c r="F75" s="5">
        <v>1.02</v>
      </c>
      <c r="G75" s="10" t="s">
        <v>154</v>
      </c>
      <c r="H75" s="11">
        <f t="shared" si="1"/>
        <v>2</v>
      </c>
      <c r="I75" s="5"/>
      <c r="J75" s="5"/>
      <c r="K75" s="5"/>
    </row>
    <row r="76" spans="1:11" x14ac:dyDescent="0.3">
      <c r="A76" s="1">
        <v>74</v>
      </c>
      <c r="B76" s="2">
        <v>256.79000000000002</v>
      </c>
      <c r="C76" s="2">
        <v>257.73</v>
      </c>
      <c r="D76" s="7">
        <v>0.17777777777777778</v>
      </c>
      <c r="E76" s="7">
        <v>0.17847222222222223</v>
      </c>
      <c r="F76" s="2">
        <v>0.94</v>
      </c>
      <c r="G76" s="8" t="s">
        <v>70</v>
      </c>
      <c r="H76" s="11">
        <f t="shared" si="1"/>
        <v>1</v>
      </c>
      <c r="I76" s="2">
        <v>1</v>
      </c>
      <c r="J76" s="2"/>
      <c r="K76" s="2"/>
    </row>
    <row r="77" spans="1:11" x14ac:dyDescent="0.3">
      <c r="A77" s="4">
        <v>75</v>
      </c>
      <c r="B77" s="5">
        <v>257.73</v>
      </c>
      <c r="C77" s="5">
        <v>259.83</v>
      </c>
      <c r="D77" s="9">
        <v>0.17847222222222223</v>
      </c>
      <c r="E77" s="9">
        <v>0.17986111111111111</v>
      </c>
      <c r="F77" s="5">
        <v>2.1</v>
      </c>
      <c r="G77" s="10" t="s">
        <v>155</v>
      </c>
      <c r="H77" s="11">
        <f t="shared" si="1"/>
        <v>1</v>
      </c>
      <c r="I77" s="5"/>
      <c r="J77" s="5"/>
      <c r="K77" s="5"/>
    </row>
    <row r="78" spans="1:11" x14ac:dyDescent="0.3">
      <c r="A78" s="1">
        <v>76</v>
      </c>
      <c r="B78" s="2">
        <v>259.83</v>
      </c>
      <c r="C78" s="2">
        <v>262.89</v>
      </c>
      <c r="D78" s="7">
        <v>0.17986111111111111</v>
      </c>
      <c r="E78" s="7">
        <v>0.18194444444444444</v>
      </c>
      <c r="F78" s="2">
        <v>3.06</v>
      </c>
      <c r="G78" s="8" t="s">
        <v>156</v>
      </c>
      <c r="H78" s="11">
        <f t="shared" si="1"/>
        <v>3</v>
      </c>
      <c r="I78" s="2"/>
      <c r="J78" s="2"/>
      <c r="K78" s="2"/>
    </row>
    <row r="79" spans="1:11" x14ac:dyDescent="0.3">
      <c r="A79" s="4">
        <v>77</v>
      </c>
      <c r="B79" s="5">
        <v>262.89</v>
      </c>
      <c r="C79" s="5">
        <v>264.58999999999997</v>
      </c>
      <c r="D79" s="9">
        <v>0.18194444444444444</v>
      </c>
      <c r="E79" s="9">
        <v>0.18333333333333332</v>
      </c>
      <c r="F79" s="5">
        <v>1.7</v>
      </c>
      <c r="G79" s="10" t="s">
        <v>157</v>
      </c>
      <c r="H79" s="11">
        <f t="shared" si="1"/>
        <v>4</v>
      </c>
      <c r="I79" s="5"/>
      <c r="J79" s="5"/>
      <c r="K79" s="5"/>
    </row>
    <row r="80" spans="1:11" x14ac:dyDescent="0.3">
      <c r="A80" s="1">
        <v>78</v>
      </c>
      <c r="B80" s="2">
        <v>264.58999999999997</v>
      </c>
      <c r="C80" s="2">
        <v>267.13</v>
      </c>
      <c r="D80" s="7">
        <v>0.18333333333333332</v>
      </c>
      <c r="E80" s="7">
        <v>0.18541666666666667</v>
      </c>
      <c r="F80" s="2">
        <v>2.54</v>
      </c>
      <c r="G80" s="8" t="s">
        <v>158</v>
      </c>
      <c r="H80" s="11">
        <f t="shared" si="1"/>
        <v>8</v>
      </c>
      <c r="I80" s="2"/>
      <c r="J80" s="2">
        <v>2</v>
      </c>
      <c r="K80" s="2">
        <v>1</v>
      </c>
    </row>
    <row r="81" spans="1:11" x14ac:dyDescent="0.3">
      <c r="A81" s="4">
        <v>79</v>
      </c>
      <c r="B81" s="5">
        <v>267.13</v>
      </c>
      <c r="C81" s="5">
        <v>269.05</v>
      </c>
      <c r="D81" s="9">
        <v>0.18541666666666667</v>
      </c>
      <c r="E81" s="9">
        <v>0.18680555555555556</v>
      </c>
      <c r="F81" s="5">
        <v>1.92</v>
      </c>
      <c r="G81" s="10" t="s">
        <v>159</v>
      </c>
      <c r="H81" s="11">
        <f t="shared" si="1"/>
        <v>2</v>
      </c>
      <c r="I81" s="5">
        <v>2</v>
      </c>
      <c r="J81" s="5">
        <v>0</v>
      </c>
      <c r="K81" s="5">
        <v>1</v>
      </c>
    </row>
    <row r="82" spans="1:11" x14ac:dyDescent="0.3">
      <c r="A82" s="1">
        <v>80</v>
      </c>
      <c r="B82" s="2">
        <v>269.05</v>
      </c>
      <c r="C82" s="2">
        <v>270.27</v>
      </c>
      <c r="D82" s="7">
        <v>0.18680555555555556</v>
      </c>
      <c r="E82" s="7">
        <v>0.1875</v>
      </c>
      <c r="F82" s="2">
        <v>1.22</v>
      </c>
      <c r="G82" s="8" t="s">
        <v>160</v>
      </c>
      <c r="H82" s="11">
        <f t="shared" si="1"/>
        <v>3</v>
      </c>
      <c r="I82" s="2">
        <v>1</v>
      </c>
      <c r="J82" s="2"/>
      <c r="K82" s="2"/>
    </row>
    <row r="83" spans="1:11" x14ac:dyDescent="0.3">
      <c r="A83" s="4">
        <v>81</v>
      </c>
      <c r="B83" s="5">
        <v>270.27</v>
      </c>
      <c r="C83" s="5">
        <v>272.25</v>
      </c>
      <c r="D83" s="9">
        <v>0.1875</v>
      </c>
      <c r="E83" s="9">
        <v>0.18888888888888888</v>
      </c>
      <c r="F83" s="5">
        <v>1.98</v>
      </c>
      <c r="G83" s="10" t="s">
        <v>161</v>
      </c>
      <c r="H83" s="11">
        <f t="shared" si="1"/>
        <v>7</v>
      </c>
      <c r="I83" s="5"/>
      <c r="J83" s="5"/>
      <c r="K83" s="5"/>
    </row>
    <row r="84" spans="1:11" x14ac:dyDescent="0.3">
      <c r="A84" s="1">
        <v>82</v>
      </c>
      <c r="B84" s="2">
        <v>272.25</v>
      </c>
      <c r="C84" s="2">
        <v>277.08999999999997</v>
      </c>
      <c r="D84" s="7">
        <v>0.18888888888888888</v>
      </c>
      <c r="E84" s="7">
        <v>0.19236111111111112</v>
      </c>
      <c r="F84" s="2">
        <v>4.84</v>
      </c>
      <c r="G84" s="8" t="s">
        <v>162</v>
      </c>
      <c r="H84" s="11">
        <f t="shared" si="1"/>
        <v>12</v>
      </c>
      <c r="I84" s="2"/>
      <c r="J84" s="2"/>
      <c r="K84" s="2"/>
    </row>
    <row r="85" spans="1:11" x14ac:dyDescent="0.3">
      <c r="A85" s="4">
        <v>83</v>
      </c>
      <c r="B85" s="5">
        <v>277.08999999999997</v>
      </c>
      <c r="C85" s="5">
        <v>278.17</v>
      </c>
      <c r="D85" s="9">
        <v>0.19236111111111112</v>
      </c>
      <c r="E85" s="9">
        <v>0.19305555555555556</v>
      </c>
      <c r="F85" s="5">
        <v>1.08</v>
      </c>
      <c r="G85" s="10" t="s">
        <v>163</v>
      </c>
      <c r="H85" s="11">
        <f t="shared" si="1"/>
        <v>4</v>
      </c>
      <c r="I85" s="5">
        <v>2</v>
      </c>
      <c r="J85" s="5"/>
      <c r="K85" s="5"/>
    </row>
    <row r="86" spans="1:11" x14ac:dyDescent="0.3">
      <c r="A86" s="1">
        <v>84</v>
      </c>
      <c r="B86" s="2">
        <v>278.17</v>
      </c>
      <c r="C86" s="2">
        <v>280.35000000000002</v>
      </c>
      <c r="D86" s="7">
        <v>0.19305555555555556</v>
      </c>
      <c r="E86" s="7">
        <v>0.19444444444444445</v>
      </c>
      <c r="F86" s="2">
        <v>2.1800000000000002</v>
      </c>
      <c r="G86" s="8" t="s">
        <v>164</v>
      </c>
      <c r="H86" s="11">
        <f t="shared" si="1"/>
        <v>5</v>
      </c>
      <c r="I86" s="2">
        <v>1</v>
      </c>
      <c r="J86" s="2"/>
      <c r="K86" s="2"/>
    </row>
    <row r="87" spans="1:11" x14ac:dyDescent="0.3">
      <c r="A87" s="4">
        <v>85</v>
      </c>
      <c r="B87" s="5">
        <v>283.61</v>
      </c>
      <c r="C87" s="5">
        <v>285.07</v>
      </c>
      <c r="D87" s="9">
        <v>0.19652777777777777</v>
      </c>
      <c r="E87" s="9">
        <v>0.19791666666666666</v>
      </c>
      <c r="F87" s="5">
        <v>1.46</v>
      </c>
      <c r="G87" s="10" t="s">
        <v>165</v>
      </c>
      <c r="H87" s="11">
        <f t="shared" si="1"/>
        <v>5</v>
      </c>
      <c r="I87" s="5"/>
      <c r="J87" s="5"/>
      <c r="K87" s="5"/>
    </row>
    <row r="88" spans="1:11" x14ac:dyDescent="0.3">
      <c r="A88" s="1">
        <v>86</v>
      </c>
      <c r="B88" s="2">
        <v>285.07</v>
      </c>
      <c r="C88" s="2">
        <v>287.73</v>
      </c>
      <c r="D88" s="7">
        <v>0.19791666666666666</v>
      </c>
      <c r="E88" s="7">
        <v>0.19930555555555557</v>
      </c>
      <c r="F88" s="2">
        <v>2.66</v>
      </c>
      <c r="G88" s="8" t="s">
        <v>72</v>
      </c>
      <c r="H88" s="11">
        <f t="shared" si="1"/>
        <v>1</v>
      </c>
      <c r="I88" s="2"/>
      <c r="J88" s="2"/>
      <c r="K88" s="2"/>
    </row>
    <row r="89" spans="1:11" x14ac:dyDescent="0.3">
      <c r="A89" s="4">
        <v>87</v>
      </c>
      <c r="B89" s="5">
        <v>287.73</v>
      </c>
      <c r="C89" s="5">
        <v>289.35000000000002</v>
      </c>
      <c r="D89" s="9">
        <v>0.19930555555555557</v>
      </c>
      <c r="E89" s="9">
        <v>0.20069444444444445</v>
      </c>
      <c r="F89" s="5">
        <v>1.62</v>
      </c>
      <c r="G89" s="10" t="s">
        <v>166</v>
      </c>
      <c r="H89" s="11">
        <f t="shared" si="1"/>
        <v>4</v>
      </c>
      <c r="I89" s="5"/>
      <c r="J89" s="5"/>
      <c r="K89" s="5"/>
    </row>
    <row r="90" spans="1:11" x14ac:dyDescent="0.3">
      <c r="A90" s="1">
        <v>88</v>
      </c>
      <c r="B90" s="2">
        <v>289.35000000000002</v>
      </c>
      <c r="C90" s="2">
        <v>291.77</v>
      </c>
      <c r="D90" s="7">
        <v>0.20069444444444445</v>
      </c>
      <c r="E90" s="7">
        <v>0.20208333333333334</v>
      </c>
      <c r="F90" s="2">
        <v>2.42</v>
      </c>
      <c r="G90" s="8" t="s">
        <v>167</v>
      </c>
      <c r="H90" s="11">
        <f t="shared" si="1"/>
        <v>7</v>
      </c>
      <c r="I90" s="2"/>
      <c r="J90" s="2"/>
      <c r="K90" s="2"/>
    </row>
    <row r="91" spans="1:11" x14ac:dyDescent="0.3">
      <c r="A91" s="4">
        <v>89</v>
      </c>
      <c r="B91" s="5">
        <v>291.77</v>
      </c>
      <c r="C91" s="5">
        <v>295.87</v>
      </c>
      <c r="D91" s="9">
        <v>0.20208333333333334</v>
      </c>
      <c r="E91" s="9">
        <v>0.2048611111111111</v>
      </c>
      <c r="F91" s="5">
        <v>4.0999999999999996</v>
      </c>
      <c r="G91" s="10" t="s">
        <v>168</v>
      </c>
      <c r="H91" s="11">
        <f t="shared" si="1"/>
        <v>13</v>
      </c>
      <c r="I91" s="5">
        <v>3</v>
      </c>
      <c r="J91" s="5"/>
      <c r="K91" s="5">
        <v>2</v>
      </c>
    </row>
    <row r="92" spans="1:11" x14ac:dyDescent="0.3">
      <c r="A92" s="1">
        <v>90</v>
      </c>
      <c r="B92" s="2">
        <v>295.87</v>
      </c>
      <c r="C92" s="2">
        <v>300.49</v>
      </c>
      <c r="D92" s="7">
        <v>0.2048611111111111</v>
      </c>
      <c r="E92" s="7">
        <v>0.20833333333333334</v>
      </c>
      <c r="F92" s="2">
        <v>4.62</v>
      </c>
      <c r="G92" s="8" t="s">
        <v>169</v>
      </c>
      <c r="H92" s="11">
        <f t="shared" si="1"/>
        <v>10</v>
      </c>
      <c r="I92" s="2">
        <v>3</v>
      </c>
      <c r="J92" s="2"/>
      <c r="K92" s="2">
        <v>1</v>
      </c>
    </row>
    <row r="93" spans="1:11" x14ac:dyDescent="0.3">
      <c r="A93" s="4">
        <v>91</v>
      </c>
      <c r="B93" s="5">
        <v>300.49</v>
      </c>
      <c r="C93" s="5">
        <v>301.55</v>
      </c>
      <c r="D93" s="9">
        <v>0.20833333333333334</v>
      </c>
      <c r="E93" s="9">
        <v>0.20902777777777778</v>
      </c>
      <c r="F93" s="5">
        <v>1.06</v>
      </c>
      <c r="G93" s="10" t="s">
        <v>170</v>
      </c>
      <c r="H93" s="11">
        <f t="shared" si="1"/>
        <v>3</v>
      </c>
      <c r="I93" s="5">
        <v>1</v>
      </c>
      <c r="J93" s="5"/>
      <c r="K93" s="5">
        <v>2</v>
      </c>
    </row>
    <row r="94" spans="1:11" x14ac:dyDescent="0.3">
      <c r="A94" s="1">
        <v>92</v>
      </c>
      <c r="B94" s="2">
        <v>301.55</v>
      </c>
      <c r="C94" s="2">
        <v>305.67</v>
      </c>
      <c r="D94" s="7">
        <v>0.20902777777777778</v>
      </c>
      <c r="E94" s="7">
        <v>0.21180555555555555</v>
      </c>
      <c r="F94" s="2">
        <v>4.12</v>
      </c>
      <c r="G94" s="8" t="s">
        <v>171</v>
      </c>
      <c r="H94" s="11">
        <f t="shared" si="1"/>
        <v>16</v>
      </c>
      <c r="I94" s="2"/>
      <c r="J94" s="2"/>
      <c r="K94" s="2"/>
    </row>
    <row r="95" spans="1:11" x14ac:dyDescent="0.3">
      <c r="A95" s="4">
        <v>93</v>
      </c>
      <c r="B95" s="5">
        <v>305.67</v>
      </c>
      <c r="C95" s="5">
        <v>307.64999999999998</v>
      </c>
      <c r="D95" s="9">
        <v>0.21180555555555555</v>
      </c>
      <c r="E95" s="9">
        <v>0.21319444444444444</v>
      </c>
      <c r="F95" s="5">
        <v>1.98</v>
      </c>
      <c r="G95" s="10" t="s">
        <v>172</v>
      </c>
      <c r="H95" s="11">
        <f t="shared" si="1"/>
        <v>2</v>
      </c>
      <c r="I95" s="5"/>
      <c r="J95" s="5"/>
      <c r="K95" s="5"/>
    </row>
    <row r="96" spans="1:11" x14ac:dyDescent="0.3">
      <c r="A96" s="1">
        <v>94</v>
      </c>
      <c r="B96" s="2">
        <v>307.64999999999998</v>
      </c>
      <c r="C96" s="2">
        <v>308.58999999999997</v>
      </c>
      <c r="D96" s="7">
        <v>0.21319444444444444</v>
      </c>
      <c r="E96" s="7">
        <v>0.21388888888888888</v>
      </c>
      <c r="F96" s="2">
        <v>0.94</v>
      </c>
      <c r="G96" s="8" t="s">
        <v>173</v>
      </c>
      <c r="H96" s="11">
        <f t="shared" si="1"/>
        <v>2</v>
      </c>
      <c r="I96" s="2"/>
      <c r="J96" s="2"/>
      <c r="K96" s="2"/>
    </row>
    <row r="97" spans="1:11" x14ac:dyDescent="0.3">
      <c r="A97" s="4">
        <v>95</v>
      </c>
      <c r="B97" s="5">
        <v>308.58999999999997</v>
      </c>
      <c r="C97" s="5">
        <v>310.29000000000002</v>
      </c>
      <c r="D97" s="9">
        <v>0.21388888888888888</v>
      </c>
      <c r="E97" s="9">
        <v>0.21527777777777779</v>
      </c>
      <c r="F97" s="5">
        <v>1.7</v>
      </c>
      <c r="G97" s="10" t="s">
        <v>174</v>
      </c>
      <c r="H97" s="11">
        <f t="shared" si="1"/>
        <v>7</v>
      </c>
      <c r="I97" s="5">
        <v>1</v>
      </c>
      <c r="J97" s="5"/>
      <c r="K97" s="5"/>
    </row>
    <row r="98" spans="1:11" x14ac:dyDescent="0.3">
      <c r="A98" s="1">
        <v>96</v>
      </c>
      <c r="B98" s="2">
        <v>310.48</v>
      </c>
      <c r="C98" s="2">
        <v>312.5</v>
      </c>
      <c r="D98" s="7">
        <v>0.21527777777777779</v>
      </c>
      <c r="E98" s="7">
        <v>0.21666666666666667</v>
      </c>
      <c r="F98" s="2">
        <v>2.02</v>
      </c>
      <c r="G98" s="8" t="s">
        <v>73</v>
      </c>
      <c r="H98" s="11">
        <f t="shared" si="1"/>
        <v>1</v>
      </c>
      <c r="I98" s="2"/>
      <c r="J98" s="2"/>
      <c r="K98" s="2"/>
    </row>
    <row r="99" spans="1:11" x14ac:dyDescent="0.3">
      <c r="A99" s="4">
        <v>97</v>
      </c>
      <c r="B99" s="5">
        <v>312.5</v>
      </c>
      <c r="C99" s="5">
        <v>313.51</v>
      </c>
      <c r="D99" s="9">
        <v>0.21666666666666667</v>
      </c>
      <c r="E99" s="9">
        <v>0.21736111111111112</v>
      </c>
      <c r="F99" s="5">
        <v>1.01</v>
      </c>
      <c r="G99" s="10" t="s">
        <v>74</v>
      </c>
      <c r="H99" s="11">
        <f t="shared" si="1"/>
        <v>2</v>
      </c>
      <c r="I99" s="5">
        <v>1</v>
      </c>
      <c r="J99" s="5"/>
      <c r="K99" s="5"/>
    </row>
    <row r="100" spans="1:11" x14ac:dyDescent="0.3">
      <c r="A100" s="1">
        <v>98</v>
      </c>
      <c r="B100" s="2">
        <v>313.51</v>
      </c>
      <c r="C100" s="2">
        <v>314.81</v>
      </c>
      <c r="D100" s="7">
        <v>0.21736111111111112</v>
      </c>
      <c r="E100" s="7">
        <v>0.21805555555555556</v>
      </c>
      <c r="F100" s="2">
        <v>1.3</v>
      </c>
      <c r="G100" s="8" t="s">
        <v>75</v>
      </c>
      <c r="H100" s="11">
        <f t="shared" si="1"/>
        <v>4</v>
      </c>
      <c r="I100" s="2"/>
      <c r="J100" s="2"/>
      <c r="K100" s="2"/>
    </row>
    <row r="101" spans="1:11" x14ac:dyDescent="0.3">
      <c r="A101" s="4">
        <v>99</v>
      </c>
      <c r="B101" s="5">
        <v>314.81</v>
      </c>
      <c r="C101" s="5">
        <v>318.75</v>
      </c>
      <c r="D101" s="9">
        <v>0.21805555555555556</v>
      </c>
      <c r="E101" s="9">
        <v>0.22083333333333333</v>
      </c>
      <c r="F101" s="5">
        <v>3.94</v>
      </c>
      <c r="G101" s="10" t="s">
        <v>175</v>
      </c>
      <c r="H101" s="11">
        <f t="shared" si="1"/>
        <v>11</v>
      </c>
      <c r="I101" s="5"/>
      <c r="J101" s="5"/>
      <c r="K101" s="5"/>
    </row>
    <row r="102" spans="1:11" x14ac:dyDescent="0.3">
      <c r="A102" s="1">
        <v>100</v>
      </c>
      <c r="B102" s="2">
        <v>318.75</v>
      </c>
      <c r="C102" s="2">
        <v>319.23</v>
      </c>
      <c r="D102" s="7">
        <v>0.22083333333333333</v>
      </c>
      <c r="E102" s="7">
        <v>0.22152777777777777</v>
      </c>
      <c r="F102" s="2">
        <v>0.48</v>
      </c>
      <c r="G102" s="8" t="s">
        <v>76</v>
      </c>
      <c r="H102" s="11">
        <f t="shared" si="1"/>
        <v>3</v>
      </c>
      <c r="I102" s="2"/>
      <c r="J102" s="2"/>
      <c r="K102" s="2"/>
    </row>
    <row r="103" spans="1:11" x14ac:dyDescent="0.3">
      <c r="A103" s="4">
        <v>101</v>
      </c>
      <c r="B103" s="5">
        <v>319.23</v>
      </c>
      <c r="C103" s="5">
        <v>320.77</v>
      </c>
      <c r="D103" s="9">
        <v>0.22152777777777777</v>
      </c>
      <c r="E103" s="9">
        <v>0.22222222222222221</v>
      </c>
      <c r="F103" s="5">
        <v>1.54</v>
      </c>
      <c r="G103" s="10" t="s">
        <v>176</v>
      </c>
      <c r="H103" s="11">
        <f t="shared" si="1"/>
        <v>8</v>
      </c>
      <c r="I103" s="5"/>
      <c r="J103" s="5"/>
      <c r="K103" s="5"/>
    </row>
    <row r="104" spans="1:11" x14ac:dyDescent="0.3">
      <c r="A104" s="1">
        <v>102</v>
      </c>
      <c r="B104" s="2">
        <v>320.77</v>
      </c>
      <c r="C104" s="2">
        <v>322.20999999999998</v>
      </c>
      <c r="D104" s="7">
        <v>0.22222222222222221</v>
      </c>
      <c r="E104" s="7">
        <v>0.22361111111111112</v>
      </c>
      <c r="F104" s="2">
        <v>1.44</v>
      </c>
      <c r="G104" s="8" t="s">
        <v>177</v>
      </c>
      <c r="H104" s="11">
        <f t="shared" si="1"/>
        <v>2</v>
      </c>
      <c r="I104" s="2"/>
      <c r="J104" s="2"/>
      <c r="K104" s="2"/>
    </row>
    <row r="105" spans="1:11" x14ac:dyDescent="0.3">
      <c r="A105" s="4">
        <v>103</v>
      </c>
      <c r="B105" s="5">
        <v>322.20999999999998</v>
      </c>
      <c r="C105" s="5">
        <v>324.31</v>
      </c>
      <c r="D105" s="9">
        <v>0.22361111111111112</v>
      </c>
      <c r="E105" s="9">
        <v>0.22500000000000001</v>
      </c>
      <c r="F105" s="5">
        <v>2.1</v>
      </c>
      <c r="G105" s="10" t="s">
        <v>178</v>
      </c>
      <c r="H105" s="11">
        <f t="shared" si="1"/>
        <v>5</v>
      </c>
      <c r="I105" s="5"/>
      <c r="J105" s="5"/>
      <c r="K105" s="5"/>
    </row>
    <row r="106" spans="1:11" x14ac:dyDescent="0.3">
      <c r="A106" s="1">
        <v>104</v>
      </c>
      <c r="B106" s="2">
        <v>324.31</v>
      </c>
      <c r="C106" s="2">
        <v>326.75</v>
      </c>
      <c r="D106" s="7">
        <v>0.22500000000000001</v>
      </c>
      <c r="E106" s="7">
        <v>0.22638888888888889</v>
      </c>
      <c r="F106" s="2">
        <v>2.44</v>
      </c>
      <c r="G106" s="8" t="s">
        <v>179</v>
      </c>
      <c r="H106" s="11">
        <f t="shared" si="1"/>
        <v>5</v>
      </c>
      <c r="I106" s="2"/>
      <c r="J106" s="2"/>
      <c r="K106" s="2"/>
    </row>
    <row r="107" spans="1:11" x14ac:dyDescent="0.3">
      <c r="A107" s="4">
        <v>105</v>
      </c>
      <c r="B107" s="5">
        <v>326.75</v>
      </c>
      <c r="C107" s="5">
        <v>328.8</v>
      </c>
      <c r="D107" s="9">
        <v>0.22638888888888889</v>
      </c>
      <c r="E107" s="9">
        <v>0.22777777777777777</v>
      </c>
      <c r="F107" s="5">
        <v>2.0499999999999998</v>
      </c>
      <c r="G107" s="10" t="s">
        <v>180</v>
      </c>
      <c r="H107" s="11">
        <f t="shared" si="1"/>
        <v>1</v>
      </c>
      <c r="I107" s="5">
        <v>1</v>
      </c>
      <c r="J107" s="5"/>
      <c r="K107" s="5">
        <v>1</v>
      </c>
    </row>
    <row r="108" spans="1:11" x14ac:dyDescent="0.3">
      <c r="A108" s="1">
        <v>106</v>
      </c>
      <c r="B108" s="2">
        <v>328.8</v>
      </c>
      <c r="C108" s="2">
        <v>331.6</v>
      </c>
      <c r="D108" s="7">
        <v>0.22777777777777777</v>
      </c>
      <c r="E108" s="7">
        <v>0.2298611111111111</v>
      </c>
      <c r="F108" s="2">
        <v>2.8</v>
      </c>
      <c r="G108" s="8" t="s">
        <v>181</v>
      </c>
      <c r="H108" s="11">
        <f t="shared" si="1"/>
        <v>7</v>
      </c>
      <c r="I108" s="2">
        <v>1</v>
      </c>
      <c r="J108" s="2"/>
      <c r="K108" s="2"/>
    </row>
    <row r="109" spans="1:11" x14ac:dyDescent="0.3">
      <c r="A109" s="4">
        <v>107</v>
      </c>
      <c r="B109" s="5">
        <v>331.6</v>
      </c>
      <c r="C109" s="5">
        <v>334.62</v>
      </c>
      <c r="D109" s="9">
        <v>0.2298611111111111</v>
      </c>
      <c r="E109" s="9">
        <v>0.23194444444444445</v>
      </c>
      <c r="F109" s="5">
        <v>3.02</v>
      </c>
      <c r="G109" s="10" t="s">
        <v>182</v>
      </c>
      <c r="H109" s="11">
        <f t="shared" si="1"/>
        <v>3</v>
      </c>
      <c r="I109" s="5"/>
      <c r="J109" s="5"/>
      <c r="K109" s="5"/>
    </row>
    <row r="110" spans="1:11" x14ac:dyDescent="0.3">
      <c r="A110" s="1">
        <v>108</v>
      </c>
      <c r="B110" s="2">
        <v>334.62</v>
      </c>
      <c r="C110" s="2">
        <v>339.21</v>
      </c>
      <c r="D110" s="7">
        <v>0.23194444444444445</v>
      </c>
      <c r="E110" s="7">
        <v>0.23541666666666666</v>
      </c>
      <c r="F110" s="2">
        <v>4.59</v>
      </c>
      <c r="G110" s="8" t="s">
        <v>183</v>
      </c>
      <c r="H110" s="11">
        <f t="shared" si="1"/>
        <v>14</v>
      </c>
      <c r="I110" s="2"/>
      <c r="J110" s="2"/>
      <c r="K110" s="2"/>
    </row>
    <row r="111" spans="1:11" x14ac:dyDescent="0.3">
      <c r="A111" s="4">
        <v>109</v>
      </c>
      <c r="B111" s="5">
        <v>351.56</v>
      </c>
      <c r="C111" s="5">
        <v>357.55</v>
      </c>
      <c r="D111" s="9">
        <v>0.24374999999999999</v>
      </c>
      <c r="E111" s="9">
        <v>0.24791666666666667</v>
      </c>
      <c r="F111" s="5">
        <v>5.99</v>
      </c>
      <c r="G111" s="10" t="s">
        <v>184</v>
      </c>
      <c r="H111" s="11">
        <f t="shared" si="1"/>
        <v>12</v>
      </c>
      <c r="I111" s="5"/>
      <c r="J111" s="5"/>
      <c r="K111" s="5"/>
    </row>
    <row r="112" spans="1:11" x14ac:dyDescent="0.3">
      <c r="A112" s="1">
        <v>110</v>
      </c>
      <c r="B112" s="2">
        <v>357.55</v>
      </c>
      <c r="C112" s="2">
        <v>359.05</v>
      </c>
      <c r="D112" s="7">
        <v>0.24791666666666667</v>
      </c>
      <c r="E112" s="7">
        <v>0.24930555555555556</v>
      </c>
      <c r="F112" s="2">
        <v>1.5</v>
      </c>
      <c r="G112" s="8" t="s">
        <v>185</v>
      </c>
      <c r="H112" s="11">
        <f t="shared" si="1"/>
        <v>4</v>
      </c>
      <c r="I112" s="2"/>
      <c r="J112" s="2"/>
      <c r="K112" s="2"/>
    </row>
    <row r="113" spans="1:11" x14ac:dyDescent="0.3">
      <c r="A113" s="4">
        <v>111</v>
      </c>
      <c r="B113" s="5">
        <v>359.05</v>
      </c>
      <c r="C113" s="5">
        <v>361</v>
      </c>
      <c r="D113" s="9">
        <v>0.24930555555555556</v>
      </c>
      <c r="E113" s="9">
        <v>0.25069444444444444</v>
      </c>
      <c r="F113" s="5">
        <v>1.95</v>
      </c>
      <c r="G113" s="10" t="s">
        <v>186</v>
      </c>
      <c r="H113" s="11">
        <f t="shared" si="1"/>
        <v>3</v>
      </c>
      <c r="I113" s="5"/>
      <c r="J113" s="5"/>
      <c r="K113" s="5"/>
    </row>
    <row r="114" spans="1:11" x14ac:dyDescent="0.3">
      <c r="A114" s="1">
        <v>112</v>
      </c>
      <c r="B114" s="2">
        <v>361</v>
      </c>
      <c r="C114" s="2">
        <v>365.19</v>
      </c>
      <c r="D114" s="7">
        <v>0.25069444444444444</v>
      </c>
      <c r="E114" s="7">
        <v>0.25347222222222221</v>
      </c>
      <c r="F114" s="2">
        <v>4.1900000000000004</v>
      </c>
      <c r="G114" s="8" t="s">
        <v>77</v>
      </c>
      <c r="H114" s="11">
        <f t="shared" si="1"/>
        <v>6</v>
      </c>
      <c r="I114" s="2"/>
      <c r="J114" s="2"/>
      <c r="K114" s="2"/>
    </row>
    <row r="115" spans="1:11" x14ac:dyDescent="0.3">
      <c r="A115" s="4">
        <v>113</v>
      </c>
      <c r="B115" s="5">
        <v>365.19</v>
      </c>
      <c r="C115" s="5">
        <v>371.12</v>
      </c>
      <c r="D115" s="9">
        <v>0.25347222222222221</v>
      </c>
      <c r="E115" s="9">
        <v>0.25763888888888886</v>
      </c>
      <c r="F115" s="5">
        <v>5.93</v>
      </c>
      <c r="G115" s="10" t="s">
        <v>187</v>
      </c>
      <c r="H115" s="11">
        <f t="shared" si="1"/>
        <v>12</v>
      </c>
      <c r="I115" s="5">
        <v>1</v>
      </c>
      <c r="J115" s="5">
        <v>1</v>
      </c>
      <c r="K115" s="5"/>
    </row>
    <row r="116" spans="1:11" x14ac:dyDescent="0.3">
      <c r="A116" s="1">
        <v>114</v>
      </c>
      <c r="B116" s="2">
        <v>371.12</v>
      </c>
      <c r="C116" s="2">
        <v>373.4</v>
      </c>
      <c r="D116" s="7">
        <v>0.25763888888888886</v>
      </c>
      <c r="E116" s="7">
        <v>0.2590277777777778</v>
      </c>
      <c r="F116" s="2">
        <v>2.2799999999999998</v>
      </c>
      <c r="G116" s="8" t="s">
        <v>188</v>
      </c>
      <c r="H116" s="11">
        <f t="shared" si="1"/>
        <v>4</v>
      </c>
      <c r="I116" s="2"/>
      <c r="J116" s="2"/>
      <c r="K116" s="2"/>
    </row>
    <row r="117" spans="1:11" x14ac:dyDescent="0.3">
      <c r="A117" s="4">
        <v>115</v>
      </c>
      <c r="B117" s="5">
        <v>373.4</v>
      </c>
      <c r="C117" s="5">
        <v>374.19</v>
      </c>
      <c r="D117" s="9">
        <v>0.2590277777777778</v>
      </c>
      <c r="E117" s="9">
        <v>0.25972222222222224</v>
      </c>
      <c r="F117" s="5">
        <v>0.79</v>
      </c>
      <c r="G117" s="10" t="s">
        <v>78</v>
      </c>
      <c r="H117" s="11">
        <f t="shared" si="1"/>
        <v>3</v>
      </c>
      <c r="I117" s="5"/>
      <c r="J117" s="5"/>
      <c r="K117" s="5"/>
    </row>
    <row r="118" spans="1:11" x14ac:dyDescent="0.3">
      <c r="A118" s="1">
        <v>116</v>
      </c>
      <c r="B118" s="2">
        <v>374.19</v>
      </c>
      <c r="C118" s="2">
        <v>377.45</v>
      </c>
      <c r="D118" s="7">
        <v>0.25972222222222224</v>
      </c>
      <c r="E118" s="7">
        <v>0.26180555555555557</v>
      </c>
      <c r="F118" s="2">
        <v>3.26</v>
      </c>
      <c r="G118" s="8" t="s">
        <v>189</v>
      </c>
      <c r="H118" s="11">
        <f t="shared" si="1"/>
        <v>10</v>
      </c>
      <c r="I118" s="2"/>
      <c r="J118" s="2"/>
      <c r="K118" s="2"/>
    </row>
    <row r="119" spans="1:11" x14ac:dyDescent="0.3">
      <c r="A119" s="4">
        <v>117</v>
      </c>
      <c r="B119" s="5">
        <v>377.45</v>
      </c>
      <c r="C119" s="5">
        <v>381.07</v>
      </c>
      <c r="D119" s="9">
        <v>0.26180555555555557</v>
      </c>
      <c r="E119" s="9">
        <v>0.26458333333333334</v>
      </c>
      <c r="F119" s="5">
        <v>3.62</v>
      </c>
      <c r="G119" s="10" t="s">
        <v>190</v>
      </c>
      <c r="H119" s="11">
        <f t="shared" si="1"/>
        <v>4</v>
      </c>
      <c r="I119" s="5"/>
      <c r="J119" s="5"/>
      <c r="K119" s="5"/>
    </row>
    <row r="120" spans="1:11" x14ac:dyDescent="0.3">
      <c r="A120" s="1">
        <v>118</v>
      </c>
      <c r="B120" s="2">
        <v>381.07</v>
      </c>
      <c r="C120" s="2">
        <v>384.47</v>
      </c>
      <c r="D120" s="7">
        <v>0.26458333333333334</v>
      </c>
      <c r="E120" s="7">
        <v>0.26666666666666666</v>
      </c>
      <c r="F120" s="2">
        <v>3.4</v>
      </c>
      <c r="G120" s="8" t="s">
        <v>191</v>
      </c>
      <c r="H120" s="11">
        <f t="shared" si="1"/>
        <v>5</v>
      </c>
      <c r="I120" s="2"/>
      <c r="J120" s="2"/>
      <c r="K120" s="2"/>
    </row>
    <row r="121" spans="1:11" x14ac:dyDescent="0.3">
      <c r="A121" s="4">
        <v>119</v>
      </c>
      <c r="B121" s="5">
        <v>384.47</v>
      </c>
      <c r="C121" s="5">
        <v>389.09</v>
      </c>
      <c r="D121" s="9">
        <v>0.26666666666666666</v>
      </c>
      <c r="E121" s="9">
        <v>0.27013888888888887</v>
      </c>
      <c r="F121" s="5">
        <v>4.62</v>
      </c>
      <c r="G121" s="10" t="s">
        <v>192</v>
      </c>
      <c r="H121" s="11">
        <f t="shared" si="1"/>
        <v>10</v>
      </c>
      <c r="I121" s="5">
        <v>1</v>
      </c>
      <c r="J121" s="5"/>
      <c r="K121" s="5">
        <v>1</v>
      </c>
    </row>
    <row r="122" spans="1:11" x14ac:dyDescent="0.3">
      <c r="A122" s="1">
        <v>120</v>
      </c>
      <c r="B122" s="2">
        <v>389.09</v>
      </c>
      <c r="C122" s="2">
        <v>391.65</v>
      </c>
      <c r="D122" s="7">
        <v>0.27013888888888887</v>
      </c>
      <c r="E122" s="7">
        <v>0.27152777777777776</v>
      </c>
      <c r="F122" s="2">
        <v>2.56</v>
      </c>
      <c r="G122" s="8" t="s">
        <v>193</v>
      </c>
      <c r="H122" s="11">
        <f t="shared" si="1"/>
        <v>8</v>
      </c>
      <c r="I122" s="2"/>
      <c r="J122" s="2"/>
      <c r="K122" s="2"/>
    </row>
    <row r="123" spans="1:11" x14ac:dyDescent="0.3">
      <c r="A123" s="17">
        <v>120</v>
      </c>
      <c r="B123" s="18">
        <v>38909</v>
      </c>
      <c r="C123" s="18">
        <v>39165</v>
      </c>
      <c r="D123" s="19">
        <v>0.27013888888888887</v>
      </c>
      <c r="E123" s="19">
        <v>0.27152777777777776</v>
      </c>
      <c r="F123" s="18">
        <v>256</v>
      </c>
      <c r="G123" s="18" t="s">
        <v>79</v>
      </c>
      <c r="H123" s="11">
        <f t="shared" si="1"/>
        <v>8</v>
      </c>
      <c r="I123" s="18">
        <v>0</v>
      </c>
      <c r="J123" s="18">
        <v>0</v>
      </c>
      <c r="K123" s="20">
        <v>0</v>
      </c>
    </row>
    <row r="124" spans="1:11" x14ac:dyDescent="0.3">
      <c r="A124" s="13">
        <v>121</v>
      </c>
      <c r="B124" s="14">
        <v>39165</v>
      </c>
      <c r="C124" s="14">
        <v>39379</v>
      </c>
      <c r="D124" s="15">
        <v>0.27152777777777776</v>
      </c>
      <c r="E124" s="15">
        <v>0.27291666666666664</v>
      </c>
      <c r="F124" s="14">
        <v>214</v>
      </c>
      <c r="G124" s="14" t="s">
        <v>80</v>
      </c>
      <c r="H124" s="11">
        <f t="shared" si="1"/>
        <v>4</v>
      </c>
      <c r="I124" s="14">
        <v>0</v>
      </c>
      <c r="J124" s="14">
        <v>0</v>
      </c>
      <c r="K124" s="16">
        <v>0</v>
      </c>
    </row>
    <row r="125" spans="1:11" x14ac:dyDescent="0.3">
      <c r="A125" s="17">
        <v>122</v>
      </c>
      <c r="B125" s="18">
        <v>39379</v>
      </c>
      <c r="C125" s="18">
        <v>39709</v>
      </c>
      <c r="D125" s="19">
        <v>0.27291666666666664</v>
      </c>
      <c r="E125" s="19">
        <v>0.27569444444444446</v>
      </c>
      <c r="F125" s="18">
        <v>33</v>
      </c>
      <c r="G125" s="18" t="s">
        <v>81</v>
      </c>
      <c r="H125" s="11">
        <f t="shared" si="1"/>
        <v>9</v>
      </c>
      <c r="I125" s="18">
        <v>0</v>
      </c>
      <c r="J125" s="18">
        <v>0</v>
      </c>
      <c r="K125" s="20">
        <v>0</v>
      </c>
    </row>
    <row r="126" spans="1:11" x14ac:dyDescent="0.3">
      <c r="A126" s="13">
        <v>123</v>
      </c>
      <c r="B126" s="14">
        <v>39709</v>
      </c>
      <c r="C126" s="14">
        <v>39889</v>
      </c>
      <c r="D126" s="15">
        <v>0.27569444444444446</v>
      </c>
      <c r="E126" s="15">
        <v>0.27638888888888891</v>
      </c>
      <c r="F126" s="14">
        <v>18</v>
      </c>
      <c r="G126" s="14" t="s">
        <v>82</v>
      </c>
      <c r="H126" s="11">
        <f t="shared" si="1"/>
        <v>4</v>
      </c>
      <c r="I126" s="14">
        <v>0</v>
      </c>
      <c r="J126" s="14">
        <v>0</v>
      </c>
      <c r="K126" s="16">
        <v>0</v>
      </c>
    </row>
    <row r="127" spans="1:11" x14ac:dyDescent="0.3">
      <c r="A127" s="17">
        <v>124</v>
      </c>
      <c r="B127" s="18">
        <v>39889</v>
      </c>
      <c r="C127" s="18">
        <v>40061</v>
      </c>
      <c r="D127" s="19">
        <v>0.27638888888888891</v>
      </c>
      <c r="E127" s="19">
        <v>0.27777777777777779</v>
      </c>
      <c r="F127" s="18">
        <v>172</v>
      </c>
      <c r="G127" s="18" t="s">
        <v>83</v>
      </c>
      <c r="H127" s="11">
        <f t="shared" si="1"/>
        <v>4</v>
      </c>
      <c r="I127" s="18">
        <v>1</v>
      </c>
      <c r="J127" s="18">
        <v>0</v>
      </c>
      <c r="K127" s="20">
        <v>0</v>
      </c>
    </row>
    <row r="128" spans="1:11" x14ac:dyDescent="0.3">
      <c r="A128" s="13">
        <v>125</v>
      </c>
      <c r="B128" s="14">
        <v>40061</v>
      </c>
      <c r="C128" s="14">
        <v>40201</v>
      </c>
      <c r="D128" s="15">
        <v>0.27777777777777779</v>
      </c>
      <c r="E128" s="15">
        <v>0.27916666666666667</v>
      </c>
      <c r="F128" s="14">
        <v>14</v>
      </c>
      <c r="G128" s="14" t="s">
        <v>84</v>
      </c>
      <c r="H128" s="11">
        <f t="shared" si="1"/>
        <v>3</v>
      </c>
      <c r="I128" s="14">
        <v>0</v>
      </c>
      <c r="J128" s="14">
        <v>0</v>
      </c>
      <c r="K128" s="16">
        <v>0</v>
      </c>
    </row>
    <row r="129" spans="1:11" x14ac:dyDescent="0.3">
      <c r="A129" s="17">
        <v>126</v>
      </c>
      <c r="B129" s="18">
        <v>40201</v>
      </c>
      <c r="C129" s="18">
        <v>40371</v>
      </c>
      <c r="D129" s="19">
        <v>0.27916666666666667</v>
      </c>
      <c r="E129" s="19">
        <v>0.27986111111111112</v>
      </c>
      <c r="F129" s="18">
        <v>17</v>
      </c>
      <c r="G129" s="18" t="s">
        <v>85</v>
      </c>
      <c r="H129" s="11">
        <f t="shared" si="1"/>
        <v>1</v>
      </c>
      <c r="I129" s="18">
        <v>0</v>
      </c>
      <c r="J129" s="18">
        <v>0</v>
      </c>
      <c r="K129" s="20">
        <v>0</v>
      </c>
    </row>
    <row r="130" spans="1:11" x14ac:dyDescent="0.3">
      <c r="A130" s="13">
        <v>127</v>
      </c>
      <c r="B130" s="14">
        <v>40371</v>
      </c>
      <c r="C130" s="14">
        <v>40491</v>
      </c>
      <c r="D130" s="15">
        <v>0.27986111111111112</v>
      </c>
      <c r="E130" s="15">
        <v>0.28055555555555556</v>
      </c>
      <c r="F130" s="14">
        <v>12</v>
      </c>
      <c r="G130" s="14" t="s">
        <v>86</v>
      </c>
      <c r="H130" s="11">
        <f t="shared" si="1"/>
        <v>5</v>
      </c>
      <c r="I130" s="14">
        <v>0</v>
      </c>
      <c r="J130" s="14">
        <v>0</v>
      </c>
      <c r="K130" s="16">
        <v>0</v>
      </c>
    </row>
    <row r="131" spans="1:11" x14ac:dyDescent="0.3">
      <c r="A131" s="17">
        <v>128</v>
      </c>
      <c r="B131" s="18">
        <v>40703</v>
      </c>
      <c r="C131" s="18">
        <v>41067</v>
      </c>
      <c r="D131" s="19">
        <v>0.28263888888888888</v>
      </c>
      <c r="E131" s="19">
        <v>0.28472222222222221</v>
      </c>
      <c r="F131" s="18">
        <v>364</v>
      </c>
      <c r="G131" s="18" t="s">
        <v>87</v>
      </c>
      <c r="H131" s="11">
        <f t="shared" ref="H131:H183" si="2">LEN(TRIM(G131))-LEN(SUBSTITUTE(TRIM(G131)," ",""))+1</f>
        <v>8</v>
      </c>
      <c r="I131" s="18">
        <v>1</v>
      </c>
      <c r="J131" s="18">
        <v>0</v>
      </c>
      <c r="K131" s="20">
        <v>0</v>
      </c>
    </row>
    <row r="132" spans="1:11" x14ac:dyDescent="0.3">
      <c r="A132" s="13">
        <v>129</v>
      </c>
      <c r="B132" s="14">
        <v>41067</v>
      </c>
      <c r="C132" s="14">
        <v>41523</v>
      </c>
      <c r="D132" s="15">
        <v>0.28472222222222221</v>
      </c>
      <c r="E132" s="15">
        <v>0.28819444444444442</v>
      </c>
      <c r="F132" s="14">
        <v>456</v>
      </c>
      <c r="G132" s="14" t="s">
        <v>88</v>
      </c>
      <c r="H132" s="11">
        <f t="shared" si="2"/>
        <v>4</v>
      </c>
      <c r="I132" s="14">
        <v>0</v>
      </c>
      <c r="J132" s="14">
        <v>0</v>
      </c>
      <c r="K132" s="16">
        <v>0</v>
      </c>
    </row>
    <row r="133" spans="1:11" x14ac:dyDescent="0.3">
      <c r="A133" s="17">
        <v>130</v>
      </c>
      <c r="B133" s="18">
        <v>41673</v>
      </c>
      <c r="C133" s="18">
        <v>41905</v>
      </c>
      <c r="D133" s="19">
        <v>0.28888888888888886</v>
      </c>
      <c r="E133" s="19">
        <v>0.29097222222222224</v>
      </c>
      <c r="F133" s="18">
        <v>232</v>
      </c>
      <c r="G133" s="18" t="s">
        <v>89</v>
      </c>
      <c r="H133" s="11">
        <f t="shared" si="2"/>
        <v>3</v>
      </c>
      <c r="I133" s="18">
        <v>2</v>
      </c>
      <c r="J133" s="18">
        <v>1</v>
      </c>
      <c r="K133" s="20">
        <v>0</v>
      </c>
    </row>
    <row r="134" spans="1:11" x14ac:dyDescent="0.3">
      <c r="A134" s="13">
        <v>131</v>
      </c>
      <c r="B134" s="14">
        <v>41905</v>
      </c>
      <c r="C134" s="14">
        <v>42489</v>
      </c>
      <c r="D134" s="15">
        <v>0.29097222222222224</v>
      </c>
      <c r="E134" s="15">
        <v>0.29444444444444445</v>
      </c>
      <c r="F134" s="14">
        <v>584</v>
      </c>
      <c r="G134" s="14" t="s">
        <v>90</v>
      </c>
      <c r="H134" s="11">
        <f t="shared" si="2"/>
        <v>11</v>
      </c>
      <c r="I134" s="14">
        <v>4</v>
      </c>
      <c r="J134" s="14">
        <v>3</v>
      </c>
      <c r="K134" s="16">
        <v>0</v>
      </c>
    </row>
    <row r="135" spans="1:11" x14ac:dyDescent="0.3">
      <c r="A135" s="17">
        <v>132</v>
      </c>
      <c r="B135" s="18">
        <v>42489</v>
      </c>
      <c r="C135" s="18">
        <v>43143</v>
      </c>
      <c r="D135" s="19">
        <v>0.29444444444444445</v>
      </c>
      <c r="E135" s="19">
        <v>0.29930555555555555</v>
      </c>
      <c r="F135" s="18">
        <v>654</v>
      </c>
      <c r="G135" s="18" t="s">
        <v>89</v>
      </c>
      <c r="H135" s="11">
        <f t="shared" si="2"/>
        <v>3</v>
      </c>
      <c r="I135" s="18">
        <v>2</v>
      </c>
      <c r="J135" s="18">
        <v>1</v>
      </c>
      <c r="K135" s="20">
        <v>0</v>
      </c>
    </row>
    <row r="136" spans="1:11" x14ac:dyDescent="0.3">
      <c r="A136" s="13">
        <v>133</v>
      </c>
      <c r="B136" s="14">
        <v>43143</v>
      </c>
      <c r="C136" s="14">
        <v>43457</v>
      </c>
      <c r="D136" s="15">
        <v>0.29930555555555555</v>
      </c>
      <c r="E136" s="15">
        <v>0.30138888888888887</v>
      </c>
      <c r="F136" s="14">
        <v>314</v>
      </c>
      <c r="G136" s="14" t="s">
        <v>91</v>
      </c>
      <c r="H136" s="11">
        <f t="shared" si="2"/>
        <v>5</v>
      </c>
      <c r="I136" s="14">
        <v>0</v>
      </c>
      <c r="J136" s="14">
        <v>0</v>
      </c>
      <c r="K136" s="16">
        <v>0</v>
      </c>
    </row>
    <row r="137" spans="1:11" x14ac:dyDescent="0.3">
      <c r="A137" s="17">
        <v>134</v>
      </c>
      <c r="B137" s="18">
        <v>43457</v>
      </c>
      <c r="C137" s="18">
        <v>43613</v>
      </c>
      <c r="D137" s="19">
        <v>0.30138888888888887</v>
      </c>
      <c r="E137" s="19">
        <v>0.30277777777777776</v>
      </c>
      <c r="F137" s="18">
        <v>156</v>
      </c>
      <c r="G137" s="18" t="s">
        <v>71</v>
      </c>
      <c r="H137" s="11">
        <f t="shared" si="2"/>
        <v>1</v>
      </c>
      <c r="I137" s="18">
        <v>0</v>
      </c>
      <c r="J137" s="18">
        <v>0</v>
      </c>
      <c r="K137" s="20">
        <v>0</v>
      </c>
    </row>
    <row r="138" spans="1:11" x14ac:dyDescent="0.3">
      <c r="A138" s="13">
        <v>135</v>
      </c>
      <c r="B138" s="14">
        <v>43613</v>
      </c>
      <c r="C138" s="14">
        <v>43933</v>
      </c>
      <c r="D138" s="15">
        <v>0.30277777777777776</v>
      </c>
      <c r="E138" s="15">
        <v>0.30486111111111114</v>
      </c>
      <c r="F138" s="14">
        <v>32</v>
      </c>
      <c r="G138" s="14" t="s">
        <v>92</v>
      </c>
      <c r="H138" s="11">
        <f t="shared" si="2"/>
        <v>2</v>
      </c>
      <c r="I138" s="14">
        <v>0</v>
      </c>
      <c r="J138" s="14">
        <v>0</v>
      </c>
      <c r="K138" s="16">
        <v>1</v>
      </c>
    </row>
    <row r="139" spans="1:11" x14ac:dyDescent="0.3">
      <c r="A139" s="17">
        <v>136</v>
      </c>
      <c r="B139" s="18">
        <v>43933</v>
      </c>
      <c r="C139" s="18">
        <v>44069</v>
      </c>
      <c r="D139" s="19">
        <v>0.30486111111111114</v>
      </c>
      <c r="E139" s="19">
        <v>0.30555555555555558</v>
      </c>
      <c r="F139" s="18">
        <v>136</v>
      </c>
      <c r="G139" s="18" t="s">
        <v>93</v>
      </c>
      <c r="H139" s="11">
        <f t="shared" si="2"/>
        <v>5</v>
      </c>
      <c r="I139" s="18">
        <v>2</v>
      </c>
      <c r="J139" s="18">
        <v>0</v>
      </c>
      <c r="K139" s="20">
        <v>1</v>
      </c>
    </row>
    <row r="140" spans="1:11" x14ac:dyDescent="0.3">
      <c r="A140" s="13">
        <v>137</v>
      </c>
      <c r="B140" s="14">
        <v>44069</v>
      </c>
      <c r="C140" s="14">
        <v>44229</v>
      </c>
      <c r="D140" s="15">
        <v>0.30555555555555558</v>
      </c>
      <c r="E140" s="15">
        <v>0.30694444444444446</v>
      </c>
      <c r="F140" s="14">
        <v>16</v>
      </c>
      <c r="G140" s="14" t="s">
        <v>94</v>
      </c>
      <c r="H140" s="11">
        <f t="shared" si="2"/>
        <v>3</v>
      </c>
      <c r="I140" s="14">
        <v>3</v>
      </c>
      <c r="J140" s="14">
        <v>0</v>
      </c>
      <c r="K140" s="16">
        <v>0</v>
      </c>
    </row>
    <row r="141" spans="1:11" x14ac:dyDescent="0.3">
      <c r="A141" s="17">
        <v>138</v>
      </c>
      <c r="B141" s="18">
        <v>44229</v>
      </c>
      <c r="C141" s="18">
        <v>44411</v>
      </c>
      <c r="D141" s="19">
        <v>0.30694444444444446</v>
      </c>
      <c r="E141" s="19">
        <v>0.30833333333333335</v>
      </c>
      <c r="F141" s="18">
        <v>182</v>
      </c>
      <c r="G141" s="18" t="s">
        <v>95</v>
      </c>
      <c r="H141" s="11">
        <f t="shared" si="2"/>
        <v>3</v>
      </c>
      <c r="I141" s="18">
        <v>1</v>
      </c>
      <c r="J141" s="18">
        <v>0</v>
      </c>
      <c r="K141" s="20">
        <v>0</v>
      </c>
    </row>
    <row r="142" spans="1:11" x14ac:dyDescent="0.3">
      <c r="A142" s="13">
        <v>139</v>
      </c>
      <c r="B142" s="14">
        <v>44411</v>
      </c>
      <c r="C142" s="14">
        <v>44839</v>
      </c>
      <c r="D142" s="15">
        <v>0.30833333333333335</v>
      </c>
      <c r="E142" s="15">
        <v>0.31111111111111112</v>
      </c>
      <c r="F142" s="14">
        <v>428</v>
      </c>
      <c r="G142" s="14" t="s">
        <v>96</v>
      </c>
      <c r="H142" s="11">
        <f t="shared" si="2"/>
        <v>5</v>
      </c>
      <c r="I142" s="14">
        <v>3</v>
      </c>
      <c r="J142" s="14">
        <v>0</v>
      </c>
      <c r="K142" s="16">
        <v>1</v>
      </c>
    </row>
    <row r="143" spans="1:11" x14ac:dyDescent="0.3">
      <c r="A143" s="17">
        <v>140</v>
      </c>
      <c r="B143" s="18">
        <v>44839</v>
      </c>
      <c r="C143" s="18">
        <v>44961</v>
      </c>
      <c r="D143" s="19">
        <v>0.31111111111111112</v>
      </c>
      <c r="E143" s="19">
        <v>0.31180555555555556</v>
      </c>
      <c r="F143" s="18">
        <v>122</v>
      </c>
      <c r="G143" s="18" t="s">
        <v>97</v>
      </c>
      <c r="H143" s="11">
        <f t="shared" si="2"/>
        <v>1</v>
      </c>
      <c r="I143" s="18">
        <v>1</v>
      </c>
      <c r="J143" s="18">
        <v>0</v>
      </c>
      <c r="K143" s="20">
        <v>7</v>
      </c>
    </row>
    <row r="144" spans="1:11" x14ac:dyDescent="0.3">
      <c r="A144" s="13">
        <v>141</v>
      </c>
      <c r="B144" s="14">
        <v>44961</v>
      </c>
      <c r="C144" s="14">
        <v>45067</v>
      </c>
      <c r="D144" s="15">
        <v>0.31180555555555556</v>
      </c>
      <c r="E144" s="15">
        <v>0.3125</v>
      </c>
      <c r="F144" s="14">
        <v>106</v>
      </c>
      <c r="G144" s="14" t="s">
        <v>98</v>
      </c>
      <c r="H144" s="11">
        <f t="shared" si="2"/>
        <v>2</v>
      </c>
      <c r="I144" s="14">
        <v>2</v>
      </c>
      <c r="J144" s="14">
        <v>0</v>
      </c>
      <c r="K144" s="16">
        <v>0</v>
      </c>
    </row>
    <row r="145" spans="1:11" x14ac:dyDescent="0.3">
      <c r="A145" s="17">
        <v>142</v>
      </c>
      <c r="B145" s="18">
        <v>45067</v>
      </c>
      <c r="C145" s="18">
        <v>46301</v>
      </c>
      <c r="D145" s="19">
        <v>0.3125</v>
      </c>
      <c r="E145" s="19">
        <v>0.3215277777777778</v>
      </c>
      <c r="F145" s="18">
        <v>1234</v>
      </c>
      <c r="G145" s="18" t="s">
        <v>99</v>
      </c>
      <c r="H145" s="11">
        <f t="shared" si="2"/>
        <v>4</v>
      </c>
      <c r="I145" s="18">
        <v>3</v>
      </c>
      <c r="J145" s="18">
        <v>0</v>
      </c>
      <c r="K145" s="20">
        <v>0</v>
      </c>
    </row>
    <row r="146" spans="1:11" x14ac:dyDescent="0.3">
      <c r="A146" s="13">
        <v>143</v>
      </c>
      <c r="B146" s="14">
        <v>46331</v>
      </c>
      <c r="C146" s="14">
        <v>46903</v>
      </c>
      <c r="D146" s="15">
        <v>0.3215277777777778</v>
      </c>
      <c r="E146" s="15">
        <v>0.32569444444444445</v>
      </c>
      <c r="F146" s="14">
        <v>572</v>
      </c>
      <c r="G146" s="14" t="s">
        <v>100</v>
      </c>
      <c r="H146" s="11">
        <f t="shared" si="2"/>
        <v>13</v>
      </c>
      <c r="I146" s="14">
        <v>1</v>
      </c>
      <c r="J146" s="14">
        <v>0</v>
      </c>
      <c r="K146" s="16">
        <v>0</v>
      </c>
    </row>
    <row r="147" spans="1:11" x14ac:dyDescent="0.3">
      <c r="A147" s="17">
        <v>144</v>
      </c>
      <c r="B147" s="18">
        <v>46903</v>
      </c>
      <c r="C147" s="18">
        <v>48251</v>
      </c>
      <c r="D147" s="19">
        <v>0.32569444444444445</v>
      </c>
      <c r="E147" s="19">
        <v>0.3347222222222222</v>
      </c>
      <c r="F147" s="18">
        <v>1348</v>
      </c>
      <c r="G147" s="18" t="s">
        <v>101</v>
      </c>
      <c r="H147" s="11">
        <f t="shared" si="2"/>
        <v>27</v>
      </c>
      <c r="I147" s="18">
        <v>0</v>
      </c>
      <c r="J147" s="18">
        <v>0</v>
      </c>
      <c r="K147" s="20">
        <v>1</v>
      </c>
    </row>
    <row r="148" spans="1:11" x14ac:dyDescent="0.3">
      <c r="A148" s="13">
        <v>145</v>
      </c>
      <c r="B148" s="14">
        <v>48391</v>
      </c>
      <c r="C148" s="14">
        <v>48647</v>
      </c>
      <c r="D148" s="15">
        <v>0.33541666666666664</v>
      </c>
      <c r="E148" s="15">
        <v>0.33750000000000002</v>
      </c>
      <c r="F148" s="14">
        <v>256</v>
      </c>
      <c r="G148" s="14" t="s">
        <v>102</v>
      </c>
      <c r="H148" s="11">
        <f t="shared" si="2"/>
        <v>9</v>
      </c>
      <c r="I148" s="14">
        <v>0</v>
      </c>
      <c r="J148" s="14">
        <v>0</v>
      </c>
      <c r="K148" s="16">
        <v>0</v>
      </c>
    </row>
    <row r="149" spans="1:11" x14ac:dyDescent="0.3">
      <c r="A149" s="17">
        <v>146</v>
      </c>
      <c r="B149" s="18">
        <v>48647</v>
      </c>
      <c r="C149" s="18">
        <v>49007</v>
      </c>
      <c r="D149" s="19">
        <v>0.33750000000000002</v>
      </c>
      <c r="E149" s="19">
        <v>0.34027777777777779</v>
      </c>
      <c r="F149" s="18">
        <v>36</v>
      </c>
      <c r="G149" s="18" t="s">
        <v>103</v>
      </c>
      <c r="H149" s="11">
        <f t="shared" si="2"/>
        <v>5</v>
      </c>
      <c r="I149" s="18">
        <v>1</v>
      </c>
      <c r="J149" s="18">
        <v>0</v>
      </c>
      <c r="K149" s="20">
        <v>0</v>
      </c>
    </row>
    <row r="150" spans="1:11" x14ac:dyDescent="0.3">
      <c r="A150" s="13">
        <v>147</v>
      </c>
      <c r="B150" s="14">
        <v>49429</v>
      </c>
      <c r="C150" s="14">
        <v>49719</v>
      </c>
      <c r="D150" s="15">
        <v>0.34305555555555556</v>
      </c>
      <c r="E150" s="15">
        <v>0.34513888888888888</v>
      </c>
      <c r="F150" s="14">
        <v>29</v>
      </c>
      <c r="G150" s="14" t="s">
        <v>104</v>
      </c>
      <c r="H150" s="11">
        <f t="shared" si="2"/>
        <v>8</v>
      </c>
      <c r="I150" s="14">
        <v>1</v>
      </c>
      <c r="J150" s="14">
        <v>0</v>
      </c>
      <c r="K150" s="16">
        <v>0</v>
      </c>
    </row>
    <row r="151" spans="1:11" x14ac:dyDescent="0.3">
      <c r="A151" s="17">
        <v>148</v>
      </c>
      <c r="B151" s="18">
        <v>49719</v>
      </c>
      <c r="C151" s="18">
        <v>50233</v>
      </c>
      <c r="D151" s="19">
        <v>0.34513888888888888</v>
      </c>
      <c r="E151" s="19">
        <v>0.34861111111111109</v>
      </c>
      <c r="F151" s="18">
        <v>514</v>
      </c>
      <c r="G151" s="18" t="s">
        <v>105</v>
      </c>
      <c r="H151" s="11">
        <f t="shared" si="2"/>
        <v>10</v>
      </c>
      <c r="I151" s="18">
        <v>0</v>
      </c>
      <c r="J151" s="18">
        <v>0</v>
      </c>
      <c r="K151" s="20">
        <v>0</v>
      </c>
    </row>
    <row r="152" spans="1:11" x14ac:dyDescent="0.3">
      <c r="A152" s="13">
        <v>149</v>
      </c>
      <c r="B152" s="14">
        <v>50233</v>
      </c>
      <c r="C152" s="14">
        <v>51203</v>
      </c>
      <c r="D152" s="15">
        <v>0.34861111111111109</v>
      </c>
      <c r="E152" s="15">
        <v>0.35555555555555557</v>
      </c>
      <c r="F152" s="14">
        <v>97</v>
      </c>
      <c r="G152" s="14" t="s">
        <v>106</v>
      </c>
      <c r="H152" s="11">
        <f t="shared" si="2"/>
        <v>22</v>
      </c>
      <c r="I152" s="14">
        <v>4</v>
      </c>
      <c r="J152" s="14">
        <v>2</v>
      </c>
      <c r="K152" s="16">
        <v>0</v>
      </c>
    </row>
    <row r="153" spans="1:11" x14ac:dyDescent="0.3">
      <c r="A153" s="17">
        <v>150</v>
      </c>
      <c r="B153" s="18">
        <v>51203</v>
      </c>
      <c r="C153" s="18">
        <v>51827</v>
      </c>
      <c r="D153" s="19">
        <v>0.35555555555555557</v>
      </c>
      <c r="E153" s="19">
        <v>0.35972222222222222</v>
      </c>
      <c r="F153" s="18">
        <v>624</v>
      </c>
      <c r="G153" s="18" t="s">
        <v>107</v>
      </c>
      <c r="H153" s="11">
        <f t="shared" si="2"/>
        <v>9</v>
      </c>
      <c r="I153" s="18">
        <v>0</v>
      </c>
      <c r="J153" s="18">
        <v>0</v>
      </c>
      <c r="K153" s="20">
        <v>0</v>
      </c>
    </row>
    <row r="154" spans="1:11" x14ac:dyDescent="0.3">
      <c r="A154" s="13">
        <v>151</v>
      </c>
      <c r="B154" s="14">
        <v>51827</v>
      </c>
      <c r="C154" s="14">
        <v>52173</v>
      </c>
      <c r="D154" s="15">
        <v>0.35972222222222222</v>
      </c>
      <c r="E154" s="15">
        <v>0.36180555555555555</v>
      </c>
      <c r="F154" s="14">
        <v>346</v>
      </c>
      <c r="G154" s="14" t="s">
        <v>108</v>
      </c>
      <c r="H154" s="11">
        <f t="shared" si="2"/>
        <v>8</v>
      </c>
      <c r="I154" s="14">
        <v>0</v>
      </c>
      <c r="J154" s="14">
        <v>0</v>
      </c>
      <c r="K154" s="16">
        <v>0</v>
      </c>
    </row>
    <row r="155" spans="1:11" x14ac:dyDescent="0.3">
      <c r="A155" s="17">
        <v>152</v>
      </c>
      <c r="B155" s="18">
        <v>52529</v>
      </c>
      <c r="C155" s="18">
        <v>52713</v>
      </c>
      <c r="D155" s="19">
        <v>0.36458333333333331</v>
      </c>
      <c r="E155" s="19">
        <v>0.3659722222222222</v>
      </c>
      <c r="F155" s="18">
        <v>184</v>
      </c>
      <c r="G155" s="18" t="s">
        <v>109</v>
      </c>
      <c r="H155" s="11">
        <f t="shared" si="2"/>
        <v>2</v>
      </c>
      <c r="I155" s="18">
        <v>0</v>
      </c>
      <c r="J155" s="18">
        <v>0</v>
      </c>
      <c r="K155" s="20">
        <v>0</v>
      </c>
    </row>
    <row r="156" spans="1:11" x14ac:dyDescent="0.3">
      <c r="A156" s="13">
        <v>153</v>
      </c>
      <c r="B156" s="14">
        <v>52713</v>
      </c>
      <c r="C156" s="14">
        <v>53047</v>
      </c>
      <c r="D156" s="15">
        <v>0.3659722222222222</v>
      </c>
      <c r="E156" s="15">
        <v>0.36805555555555558</v>
      </c>
      <c r="F156" s="14">
        <v>334</v>
      </c>
      <c r="G156" s="14" t="s">
        <v>110</v>
      </c>
      <c r="H156" s="11">
        <f t="shared" si="2"/>
        <v>4</v>
      </c>
      <c r="I156" s="14">
        <v>0</v>
      </c>
      <c r="J156" s="14">
        <v>0</v>
      </c>
      <c r="K156" s="16">
        <v>0</v>
      </c>
    </row>
    <row r="157" spans="1:11" x14ac:dyDescent="0.3">
      <c r="A157" s="17">
        <v>154</v>
      </c>
      <c r="B157" s="18">
        <v>53047</v>
      </c>
      <c r="C157" s="18">
        <v>53463</v>
      </c>
      <c r="D157" s="19">
        <v>0.36805555555555558</v>
      </c>
      <c r="E157" s="19">
        <v>0.37083333333333335</v>
      </c>
      <c r="F157" s="18">
        <v>416</v>
      </c>
      <c r="G157" s="18" t="s">
        <v>111</v>
      </c>
      <c r="H157" s="11">
        <f t="shared" si="2"/>
        <v>7</v>
      </c>
      <c r="I157" s="18">
        <v>0</v>
      </c>
      <c r="J157" s="18">
        <v>0</v>
      </c>
      <c r="K157" s="20">
        <v>0</v>
      </c>
    </row>
    <row r="158" spans="1:11" x14ac:dyDescent="0.3">
      <c r="A158" s="13">
        <v>155</v>
      </c>
      <c r="B158" s="14">
        <v>53463</v>
      </c>
      <c r="C158" s="14">
        <v>53913</v>
      </c>
      <c r="D158" s="15">
        <v>0.37083333333333335</v>
      </c>
      <c r="E158" s="15">
        <v>0.37430555555555556</v>
      </c>
      <c r="F158" s="14">
        <v>45</v>
      </c>
      <c r="G158" s="14" t="s">
        <v>112</v>
      </c>
      <c r="H158" s="11">
        <f t="shared" si="2"/>
        <v>12</v>
      </c>
      <c r="I158" s="14">
        <v>0</v>
      </c>
      <c r="J158" s="14">
        <v>0</v>
      </c>
      <c r="K158" s="16">
        <v>0</v>
      </c>
    </row>
    <row r="159" spans="1:11" x14ac:dyDescent="0.3">
      <c r="A159" s="17">
        <v>156</v>
      </c>
      <c r="B159" s="18">
        <v>53913</v>
      </c>
      <c r="C159" s="18">
        <v>54197</v>
      </c>
      <c r="D159" s="19">
        <v>0.37430555555555556</v>
      </c>
      <c r="E159" s="19">
        <v>0.37569444444444444</v>
      </c>
      <c r="F159" s="18">
        <v>284</v>
      </c>
      <c r="G159" s="18" t="s">
        <v>113</v>
      </c>
      <c r="H159" s="11">
        <f t="shared" si="2"/>
        <v>6</v>
      </c>
      <c r="I159" s="18">
        <v>0</v>
      </c>
      <c r="J159" s="18">
        <v>0</v>
      </c>
      <c r="K159" s="20">
        <v>0</v>
      </c>
    </row>
    <row r="160" spans="1:11" x14ac:dyDescent="0.3">
      <c r="A160" s="13">
        <v>157</v>
      </c>
      <c r="B160" s="14">
        <v>54197</v>
      </c>
      <c r="C160" s="14">
        <v>54541</v>
      </c>
      <c r="D160" s="15">
        <v>0.37569444444444444</v>
      </c>
      <c r="E160" s="15">
        <v>0.37847222222222221</v>
      </c>
      <c r="F160" s="14">
        <v>344</v>
      </c>
      <c r="G160" s="14" t="s">
        <v>114</v>
      </c>
      <c r="H160" s="11">
        <f t="shared" si="2"/>
        <v>7</v>
      </c>
      <c r="I160" s="14">
        <v>0</v>
      </c>
      <c r="J160" s="14">
        <v>0</v>
      </c>
      <c r="K160" s="16">
        <v>0</v>
      </c>
    </row>
    <row r="161" spans="1:11" x14ac:dyDescent="0.3">
      <c r="A161" s="17">
        <v>158</v>
      </c>
      <c r="B161" s="18">
        <v>54814</v>
      </c>
      <c r="C161" s="18">
        <v>55214</v>
      </c>
      <c r="D161" s="19">
        <v>0.38055555555555554</v>
      </c>
      <c r="E161" s="19">
        <v>0.38333333333333336</v>
      </c>
      <c r="F161" s="18">
        <v>40</v>
      </c>
      <c r="G161" s="18" t="s">
        <v>115</v>
      </c>
      <c r="H161" s="11">
        <f t="shared" si="2"/>
        <v>10</v>
      </c>
      <c r="I161" s="18">
        <v>0</v>
      </c>
      <c r="J161" s="18">
        <v>0</v>
      </c>
      <c r="K161" s="20">
        <v>0</v>
      </c>
    </row>
    <row r="162" spans="1:11" x14ac:dyDescent="0.3">
      <c r="A162" s="13">
        <v>159</v>
      </c>
      <c r="B162" s="14">
        <v>55214</v>
      </c>
      <c r="C162" s="14">
        <v>5535</v>
      </c>
      <c r="D162" s="15">
        <v>0.38333333333333336</v>
      </c>
      <c r="E162" s="15">
        <v>0.3840277777777778</v>
      </c>
      <c r="F162" s="14">
        <v>136</v>
      </c>
      <c r="G162" s="14" t="s">
        <v>116</v>
      </c>
      <c r="H162" s="11">
        <f t="shared" si="2"/>
        <v>4</v>
      </c>
      <c r="I162" s="14">
        <v>0</v>
      </c>
      <c r="J162" s="14">
        <v>0</v>
      </c>
      <c r="K162" s="16">
        <v>0</v>
      </c>
    </row>
    <row r="163" spans="1:11" x14ac:dyDescent="0.3">
      <c r="A163" s="17">
        <v>160</v>
      </c>
      <c r="B163" s="18">
        <v>5535</v>
      </c>
      <c r="C163" s="18">
        <v>55802</v>
      </c>
      <c r="D163" s="19">
        <v>0.3840277777777778</v>
      </c>
      <c r="E163" s="19">
        <v>0.38750000000000001</v>
      </c>
      <c r="F163" s="18">
        <v>452</v>
      </c>
      <c r="G163" s="18" t="s">
        <v>117</v>
      </c>
      <c r="H163" s="11">
        <f t="shared" si="2"/>
        <v>11</v>
      </c>
      <c r="I163" s="18">
        <v>1</v>
      </c>
      <c r="J163" s="18">
        <v>0</v>
      </c>
      <c r="K163" s="20">
        <v>0</v>
      </c>
    </row>
    <row r="164" spans="1:11" x14ac:dyDescent="0.3">
      <c r="A164" s="13">
        <v>161</v>
      </c>
      <c r="B164" s="14">
        <v>55802</v>
      </c>
      <c r="C164" s="14">
        <v>5633</v>
      </c>
      <c r="D164" s="15">
        <v>0.38750000000000001</v>
      </c>
      <c r="E164" s="15">
        <v>0.39097222222222222</v>
      </c>
      <c r="F164" s="14">
        <v>528</v>
      </c>
      <c r="G164" s="14" t="s">
        <v>118</v>
      </c>
      <c r="H164" s="11">
        <f t="shared" si="2"/>
        <v>7</v>
      </c>
      <c r="I164" s="14">
        <v>1</v>
      </c>
      <c r="J164" s="14">
        <v>0</v>
      </c>
      <c r="K164" s="16">
        <v>0</v>
      </c>
    </row>
    <row r="165" spans="1:11" x14ac:dyDescent="0.3">
      <c r="A165" s="17">
        <v>162</v>
      </c>
      <c r="B165" s="18">
        <v>5633</v>
      </c>
      <c r="C165" s="18">
        <v>56562</v>
      </c>
      <c r="D165" s="19">
        <v>0.39097222222222222</v>
      </c>
      <c r="E165" s="19">
        <v>0.3923611111111111</v>
      </c>
      <c r="F165" s="18">
        <v>232</v>
      </c>
      <c r="G165" s="18" t="s">
        <v>119</v>
      </c>
      <c r="H165" s="11">
        <f t="shared" si="2"/>
        <v>11</v>
      </c>
      <c r="I165" s="18">
        <v>0</v>
      </c>
      <c r="J165" s="18">
        <v>0</v>
      </c>
      <c r="K165" s="20">
        <v>0</v>
      </c>
    </row>
    <row r="166" spans="1:11" x14ac:dyDescent="0.3">
      <c r="A166" s="13">
        <v>163</v>
      </c>
      <c r="B166" s="14">
        <v>56562</v>
      </c>
      <c r="C166" s="14">
        <v>57148</v>
      </c>
      <c r="D166" s="15">
        <v>0.3923611111111111</v>
      </c>
      <c r="E166" s="15">
        <v>0.39652777777777776</v>
      </c>
      <c r="F166" s="14">
        <v>586</v>
      </c>
      <c r="G166" s="14" t="s">
        <v>120</v>
      </c>
      <c r="H166" s="11">
        <f t="shared" si="2"/>
        <v>20</v>
      </c>
      <c r="I166" s="14">
        <v>1</v>
      </c>
      <c r="J166" s="14">
        <v>0</v>
      </c>
      <c r="K166" s="16">
        <v>0</v>
      </c>
    </row>
    <row r="167" spans="1:11" x14ac:dyDescent="0.3">
      <c r="A167" s="17">
        <v>164</v>
      </c>
      <c r="B167" s="18">
        <v>57148</v>
      </c>
      <c r="C167" s="18">
        <v>57286</v>
      </c>
      <c r="D167" s="19">
        <v>0.39652777777777776</v>
      </c>
      <c r="E167" s="19">
        <v>0.3972222222222222</v>
      </c>
      <c r="F167" s="18">
        <v>138</v>
      </c>
      <c r="G167" s="18" t="s">
        <v>121</v>
      </c>
      <c r="H167" s="11">
        <f t="shared" si="2"/>
        <v>6</v>
      </c>
      <c r="I167" s="18">
        <v>0</v>
      </c>
      <c r="J167" s="18">
        <v>0</v>
      </c>
      <c r="K167" s="20">
        <v>0</v>
      </c>
    </row>
    <row r="168" spans="1:11" x14ac:dyDescent="0.3">
      <c r="A168" s="13">
        <v>165</v>
      </c>
      <c r="B168" s="14">
        <v>57286</v>
      </c>
      <c r="C168" s="14">
        <v>57434</v>
      </c>
      <c r="D168" s="15">
        <v>0.3972222222222222</v>
      </c>
      <c r="E168" s="15">
        <v>0.39861111111111114</v>
      </c>
      <c r="F168" s="14">
        <v>148</v>
      </c>
      <c r="G168" s="14" t="s">
        <v>122</v>
      </c>
      <c r="H168" s="11">
        <f t="shared" si="2"/>
        <v>4</v>
      </c>
      <c r="I168" s="14">
        <v>0</v>
      </c>
      <c r="J168" s="14">
        <v>0</v>
      </c>
      <c r="K168" s="16">
        <v>0</v>
      </c>
    </row>
    <row r="169" spans="1:11" x14ac:dyDescent="0.3">
      <c r="A169" s="17">
        <v>166</v>
      </c>
      <c r="B169" s="18">
        <v>57434</v>
      </c>
      <c r="C169" s="18">
        <v>57781</v>
      </c>
      <c r="D169" s="19">
        <v>0.39861111111111114</v>
      </c>
      <c r="E169" s="19">
        <v>0.40069444444444446</v>
      </c>
      <c r="F169" s="18">
        <v>347</v>
      </c>
      <c r="G169" s="18" t="s">
        <v>123</v>
      </c>
      <c r="H169" s="11">
        <f t="shared" si="2"/>
        <v>6</v>
      </c>
      <c r="I169" s="18">
        <v>0</v>
      </c>
      <c r="J169" s="18">
        <v>0</v>
      </c>
      <c r="K169" s="20">
        <v>0</v>
      </c>
    </row>
    <row r="170" spans="1:11" x14ac:dyDescent="0.3">
      <c r="A170" s="13">
        <v>167</v>
      </c>
      <c r="B170" s="14">
        <v>57781</v>
      </c>
      <c r="C170" s="14">
        <v>58232</v>
      </c>
      <c r="D170" s="15">
        <v>0.40069444444444446</v>
      </c>
      <c r="E170" s="15">
        <v>0.40416666666666667</v>
      </c>
      <c r="F170" s="14">
        <v>451</v>
      </c>
      <c r="G170" s="14" t="s">
        <v>124</v>
      </c>
      <c r="H170" s="11">
        <f t="shared" si="2"/>
        <v>8</v>
      </c>
      <c r="I170" s="14">
        <v>0</v>
      </c>
      <c r="J170" s="14">
        <v>0</v>
      </c>
      <c r="K170" s="16">
        <v>0</v>
      </c>
    </row>
    <row r="171" spans="1:11" x14ac:dyDescent="0.3">
      <c r="A171" s="17">
        <v>168</v>
      </c>
      <c r="B171" s="18">
        <v>58232</v>
      </c>
      <c r="C171" s="18">
        <v>59168</v>
      </c>
      <c r="D171" s="19">
        <v>0.40416666666666667</v>
      </c>
      <c r="E171" s="19">
        <v>0.41041666666666665</v>
      </c>
      <c r="F171" s="18">
        <v>936</v>
      </c>
      <c r="G171" s="18" t="s">
        <v>125</v>
      </c>
      <c r="H171" s="11">
        <f t="shared" si="2"/>
        <v>22</v>
      </c>
      <c r="I171" s="18">
        <v>0</v>
      </c>
      <c r="J171" s="18">
        <v>0</v>
      </c>
      <c r="K171" s="20">
        <v>0</v>
      </c>
    </row>
    <row r="172" spans="1:11" x14ac:dyDescent="0.3">
      <c r="A172" s="13">
        <v>169</v>
      </c>
      <c r="B172" s="14">
        <v>59168</v>
      </c>
      <c r="C172" s="14">
        <v>59704</v>
      </c>
      <c r="D172" s="15">
        <v>0.41041666666666665</v>
      </c>
      <c r="E172" s="15">
        <v>0.41458333333333336</v>
      </c>
      <c r="F172" s="14">
        <v>536</v>
      </c>
      <c r="G172" s="14" t="s">
        <v>126</v>
      </c>
      <c r="H172" s="11">
        <f t="shared" si="2"/>
        <v>11</v>
      </c>
      <c r="I172" s="14">
        <v>1</v>
      </c>
      <c r="J172" s="14">
        <v>1</v>
      </c>
      <c r="K172" s="16">
        <v>0</v>
      </c>
    </row>
    <row r="173" spans="1:11" x14ac:dyDescent="0.3">
      <c r="A173" s="17">
        <v>170</v>
      </c>
      <c r="B173" s="18">
        <v>59704</v>
      </c>
      <c r="C173" s="18">
        <v>59912</v>
      </c>
      <c r="D173" s="19">
        <v>0.41458333333333336</v>
      </c>
      <c r="E173" s="19">
        <v>0.41597222222222224</v>
      </c>
      <c r="F173" s="18">
        <v>208</v>
      </c>
      <c r="G173" s="18" t="s">
        <v>127</v>
      </c>
      <c r="H173" s="11">
        <f t="shared" si="2"/>
        <v>1</v>
      </c>
      <c r="I173" s="18">
        <v>0</v>
      </c>
      <c r="J173" s="18">
        <v>0</v>
      </c>
      <c r="K173" s="20">
        <v>0</v>
      </c>
    </row>
    <row r="174" spans="1:11" x14ac:dyDescent="0.3">
      <c r="A174" s="13">
        <v>171</v>
      </c>
      <c r="B174" s="14">
        <v>59912</v>
      </c>
      <c r="C174" s="14">
        <v>6016</v>
      </c>
      <c r="D174" s="15">
        <v>0.41597222222222224</v>
      </c>
      <c r="E174" s="15">
        <v>0.41736111111111113</v>
      </c>
      <c r="F174" s="14">
        <v>248</v>
      </c>
      <c r="G174" s="14" t="s">
        <v>128</v>
      </c>
      <c r="H174" s="11">
        <f t="shared" si="2"/>
        <v>8</v>
      </c>
      <c r="I174" s="14">
        <v>0</v>
      </c>
      <c r="J174" s="14">
        <v>0</v>
      </c>
      <c r="K174" s="16">
        <v>0</v>
      </c>
    </row>
    <row r="175" spans="1:11" x14ac:dyDescent="0.3">
      <c r="A175" s="17">
        <v>172</v>
      </c>
      <c r="B175" s="18">
        <v>6016</v>
      </c>
      <c r="C175" s="18">
        <v>60694</v>
      </c>
      <c r="D175" s="19">
        <v>0.41736111111111113</v>
      </c>
      <c r="E175" s="19">
        <v>0.42083333333333334</v>
      </c>
      <c r="F175" s="18">
        <v>534</v>
      </c>
      <c r="G175" s="18" t="s">
        <v>129</v>
      </c>
      <c r="H175" s="11">
        <f t="shared" si="2"/>
        <v>14</v>
      </c>
      <c r="I175" s="18">
        <v>1</v>
      </c>
      <c r="J175" s="18">
        <v>0</v>
      </c>
      <c r="K175" s="20">
        <v>0</v>
      </c>
    </row>
    <row r="176" spans="1:11" x14ac:dyDescent="0.3">
      <c r="A176" s="13">
        <v>173</v>
      </c>
      <c r="B176" s="14">
        <v>60694</v>
      </c>
      <c r="C176" s="14">
        <v>61112</v>
      </c>
      <c r="D176" s="15">
        <v>0.42083333333333334</v>
      </c>
      <c r="E176" s="15">
        <v>0.42430555555555555</v>
      </c>
      <c r="F176" s="14">
        <v>418</v>
      </c>
      <c r="G176" s="14" t="s">
        <v>130</v>
      </c>
      <c r="H176" s="11">
        <f t="shared" si="2"/>
        <v>8</v>
      </c>
      <c r="I176" s="14">
        <v>1</v>
      </c>
      <c r="J176" s="14">
        <v>0</v>
      </c>
      <c r="K176" s="16">
        <v>1</v>
      </c>
    </row>
    <row r="177" spans="1:11" x14ac:dyDescent="0.3">
      <c r="A177" s="17">
        <v>174</v>
      </c>
      <c r="B177" s="18">
        <v>6112</v>
      </c>
      <c r="C177" s="18">
        <v>6191</v>
      </c>
      <c r="D177" s="19">
        <v>0.42430555555555555</v>
      </c>
      <c r="E177" s="19">
        <v>0.42986111111111114</v>
      </c>
      <c r="F177" s="18">
        <v>79</v>
      </c>
      <c r="G177" s="18" t="s">
        <v>131</v>
      </c>
      <c r="H177" s="11">
        <f t="shared" si="2"/>
        <v>4</v>
      </c>
      <c r="I177" s="18">
        <v>0</v>
      </c>
      <c r="J177" s="18">
        <v>0</v>
      </c>
      <c r="K177" s="20">
        <v>0</v>
      </c>
    </row>
    <row r="178" spans="1:11" x14ac:dyDescent="0.3">
      <c r="A178" s="13">
        <v>175</v>
      </c>
      <c r="B178" s="14">
        <v>6204</v>
      </c>
      <c r="C178" s="14">
        <v>6234</v>
      </c>
      <c r="D178" s="15">
        <v>0.43055555555555558</v>
      </c>
      <c r="E178" s="15">
        <v>0.43263888888888891</v>
      </c>
      <c r="F178" s="14">
        <v>30</v>
      </c>
      <c r="G178" s="14" t="s">
        <v>132</v>
      </c>
      <c r="H178" s="11">
        <f t="shared" si="2"/>
        <v>1</v>
      </c>
      <c r="I178" s="14">
        <v>0</v>
      </c>
      <c r="J178" s="14">
        <v>0</v>
      </c>
      <c r="K178" s="16">
        <v>0</v>
      </c>
    </row>
    <row r="179" spans="1:11" x14ac:dyDescent="0.3">
      <c r="A179" s="17">
        <v>176</v>
      </c>
      <c r="B179" s="18">
        <v>62598</v>
      </c>
      <c r="C179" s="18">
        <v>63142</v>
      </c>
      <c r="D179" s="19">
        <v>0.43402777777777779</v>
      </c>
      <c r="E179" s="19">
        <v>0.43819444444444444</v>
      </c>
      <c r="F179" s="18">
        <v>544</v>
      </c>
      <c r="G179" s="18" t="s">
        <v>133</v>
      </c>
      <c r="H179" s="11">
        <f t="shared" si="2"/>
        <v>15</v>
      </c>
      <c r="I179" s="18">
        <v>1</v>
      </c>
      <c r="J179" s="18">
        <v>0</v>
      </c>
      <c r="K179" s="20">
        <v>0</v>
      </c>
    </row>
    <row r="180" spans="1:11" x14ac:dyDescent="0.3">
      <c r="A180" s="13">
        <v>177</v>
      </c>
      <c r="B180" s="14">
        <v>63637</v>
      </c>
      <c r="C180" s="14">
        <v>63962</v>
      </c>
      <c r="D180" s="15">
        <v>0.44166666666666665</v>
      </c>
      <c r="E180" s="15">
        <v>0.44374999999999998</v>
      </c>
      <c r="F180" s="14">
        <v>325</v>
      </c>
      <c r="G180" s="14" t="s">
        <v>134</v>
      </c>
      <c r="H180" s="11">
        <f t="shared" si="2"/>
        <v>12</v>
      </c>
      <c r="I180" s="14">
        <v>0</v>
      </c>
      <c r="J180" s="14">
        <v>0</v>
      </c>
      <c r="K180" s="16">
        <v>0</v>
      </c>
    </row>
    <row r="181" spans="1:11" x14ac:dyDescent="0.3">
      <c r="A181" s="17">
        <v>178</v>
      </c>
      <c r="B181" s="18">
        <v>63962</v>
      </c>
      <c r="C181" s="18">
        <v>64109</v>
      </c>
      <c r="D181" s="19">
        <v>0.44374999999999998</v>
      </c>
      <c r="E181" s="19">
        <v>0.44513888888888886</v>
      </c>
      <c r="F181" s="18">
        <v>147</v>
      </c>
      <c r="G181" s="18" t="s">
        <v>135</v>
      </c>
      <c r="H181" s="11">
        <f t="shared" si="2"/>
        <v>7</v>
      </c>
      <c r="I181" s="18">
        <v>0</v>
      </c>
      <c r="J181" s="18">
        <v>0</v>
      </c>
      <c r="K181" s="20">
        <v>0</v>
      </c>
    </row>
    <row r="182" spans="1:11" x14ac:dyDescent="0.3">
      <c r="A182" s="13">
        <v>179</v>
      </c>
      <c r="B182" s="14">
        <v>64109</v>
      </c>
      <c r="C182" s="14">
        <v>6439</v>
      </c>
      <c r="D182" s="15">
        <v>0.44513888888888886</v>
      </c>
      <c r="E182" s="15">
        <v>0.4465277777777778</v>
      </c>
      <c r="F182" s="14">
        <v>281</v>
      </c>
      <c r="G182" s="14" t="s">
        <v>136</v>
      </c>
      <c r="H182" s="11">
        <f t="shared" si="2"/>
        <v>8</v>
      </c>
      <c r="I182" s="14">
        <v>0</v>
      </c>
      <c r="J182" s="14">
        <v>0</v>
      </c>
      <c r="K182" s="16">
        <v>0</v>
      </c>
    </row>
    <row r="183" spans="1:11" ht="15" thickBot="1" x14ac:dyDescent="0.35">
      <c r="A183" s="17">
        <v>180</v>
      </c>
      <c r="B183" s="18">
        <v>6439</v>
      </c>
      <c r="C183" s="18">
        <v>64547</v>
      </c>
      <c r="D183" s="19">
        <v>0.4465277777777778</v>
      </c>
      <c r="E183" s="19">
        <v>0.44791666666666669</v>
      </c>
      <c r="F183" s="18">
        <v>157</v>
      </c>
      <c r="G183" s="26" t="s">
        <v>137</v>
      </c>
      <c r="H183" s="27">
        <f t="shared" si="2"/>
        <v>5</v>
      </c>
      <c r="I183" s="26">
        <v>0</v>
      </c>
      <c r="J183" s="26">
        <v>0</v>
      </c>
      <c r="K183" s="28">
        <v>0</v>
      </c>
    </row>
    <row r="184" spans="1:11" ht="15" thickBot="1" x14ac:dyDescent="0.35">
      <c r="G184" s="29" t="s">
        <v>194</v>
      </c>
      <c r="H184" s="30">
        <f t="shared" ref="H184:K184" si="3">SUM(H2:H183)</f>
        <v>1152</v>
      </c>
      <c r="I184" s="30">
        <f t="shared" si="3"/>
        <v>88</v>
      </c>
      <c r="J184" s="30">
        <f t="shared" si="3"/>
        <v>12</v>
      </c>
      <c r="K184" s="31">
        <f t="shared" si="3"/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3919B3-978E-4169-94DC-84AF9867F3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STT_Assembly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Chirowski, Szymon (242621)</dc:creator>
  <cp:lastModifiedBy>Chirowski, Szymon (242621)</cp:lastModifiedBy>
  <dcterms:created xsi:type="dcterms:W3CDTF">2025-09-08T09:40:02Z</dcterms:created>
  <dcterms:modified xsi:type="dcterms:W3CDTF">2025-09-08T10:55:45Z</dcterms:modified>
</cp:coreProperties>
</file>